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2024-25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PRECIOS ref" sheetId="3" state="visible" r:id="rId3"/>
    <sheet xmlns:r="http://schemas.openxmlformats.org/officeDocument/2006/relationships" name="gastos v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0000"/>
      <sz val="14"/>
    </font>
    <font>
      <b val="1"/>
    </font>
    <font>
      <b val="1"/>
      <color rgb="00FFFFFF"/>
    </font>
    <font>
      <b val="1"/>
      <color rgb="00FF0000"/>
    </font>
    <font>
      <b val="1"/>
      <sz val="12"/>
    </font>
    <font>
      <color rgb="00FF0000"/>
    </font>
    <font>
      <i val="1"/>
    </font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  <fill>
      <patternFill patternType="solid">
        <fgColor rgb="0092D050"/>
      </patternFill>
    </fill>
    <fill>
      <patternFill patternType="solid">
        <fgColor rgb="00FF0000"/>
      </patternFill>
    </fill>
    <fill>
      <patternFill patternType="solid">
        <fgColor rgb="00BDD7EE"/>
      </patternFill>
    </fill>
    <fill>
      <patternFill patternType="solid">
        <fgColor rgb="00FFB6C1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2" borderId="0" pivotButton="0" quotePrefix="0" xfId="0"/>
    <xf numFmtId="0" fontId="0" fillId="8" borderId="0" pivotButton="0" quotePrefix="0" xfId="0"/>
    <xf numFmtId="0" fontId="5" fillId="2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0" fillId="5" borderId="0" pivotButton="0" quotePrefix="0" xfId="0"/>
    <xf numFmtId="0" fontId="2" fillId="8" borderId="0" pivotButton="0" quotePrefix="0" xfId="0"/>
    <xf numFmtId="9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6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22" customWidth="1" min="10" max="10"/>
    <col width="12" customWidth="1" min="11" max="11"/>
  </cols>
  <sheetData>
    <row r="1">
      <c r="A1" s="1" t="inlineStr">
        <is>
          <t>REGISTRO DE VENTAS Y COMPRAS - TEJIDOS ANDINOS QUISPE (ACTUALIZAR!!!!)</t>
        </is>
      </c>
    </row>
    <row r="2">
      <c r="M2" s="2" t="inlineStr">
        <is>
          <t>OJO: falta anotar ferias de agosto!!</t>
        </is>
      </c>
    </row>
    <row r="3">
      <c r="A3" s="3" t="inlineStr">
        <is>
          <t>FECHA</t>
        </is>
      </c>
      <c r="B3" s="3" t="inlineStr">
        <is>
          <t>cliente</t>
        </is>
      </c>
      <c r="C3" s="3" t="inlineStr">
        <is>
          <t>PRODUCTO</t>
        </is>
      </c>
      <c r="D3" s="3" t="inlineStr">
        <is>
          <t>cant</t>
        </is>
      </c>
      <c r="E3" s="3" t="inlineStr">
        <is>
          <t>Precio Unit S/</t>
        </is>
      </c>
      <c r="F3" s="3" t="inlineStr">
        <is>
          <t>TOTAL</t>
        </is>
      </c>
      <c r="G3" s="3" t="inlineStr">
        <is>
          <t>dolares??</t>
        </is>
      </c>
      <c r="H3" s="3" t="inlineStr">
        <is>
          <t>ESTADO</t>
        </is>
      </c>
      <c r="I3" s="3" t="inlineStr">
        <is>
          <t>quien vendio</t>
        </is>
      </c>
      <c r="J3" s="3" t="inlineStr">
        <is>
          <t>NOTAS</t>
        </is>
      </c>
      <c r="K3" s="3" t="inlineStr">
        <is>
          <t>compra/venta</t>
        </is>
      </c>
    </row>
    <row r="4">
      <c r="A4" t="inlineStr">
        <is>
          <t>3/01/2024</t>
        </is>
      </c>
      <c r="B4" t="inlineStr">
        <is>
          <t>Boutique Milano</t>
        </is>
      </c>
      <c r="C4" t="inlineStr">
        <is>
          <t>Chalina alpaca bebe</t>
        </is>
      </c>
      <c r="D4" t="n">
        <v>2</v>
      </c>
      <c r="E4" t="n">
        <v>180</v>
      </c>
      <c r="F4">
        <f>E5*D5</f>
        <v/>
      </c>
      <c r="H4" s="4" t="inlineStr">
        <is>
          <t>PAGADO</t>
        </is>
      </c>
      <c r="I4" t="inlineStr">
        <is>
          <t>Maria</t>
        </is>
      </c>
      <c r="J4" t="inlineStr"/>
      <c r="K4" t="inlineStr">
        <is>
          <t>VENTA</t>
        </is>
      </c>
    </row>
    <row r="5">
      <c r="A5" t="inlineStr">
        <is>
          <t>5 Ene</t>
        </is>
      </c>
      <c r="B5" t="inlineStr">
        <is>
          <t>Sr. Johnson USA</t>
        </is>
      </c>
      <c r="C5" t="inlineStr">
        <is>
          <t>Sweater alpaca</t>
        </is>
      </c>
      <c r="D5" t="n">
        <v>1</v>
      </c>
      <c r="E5" t="n">
        <v>250</v>
      </c>
      <c r="F5">
        <f>E6*D6</f>
        <v/>
      </c>
      <c r="G5" t="n">
        <v>92</v>
      </c>
      <c r="H5" s="5" t="inlineStr">
        <is>
          <t>pendiente</t>
        </is>
      </c>
      <c r="I5" t="inlineStr">
        <is>
          <t>Juan</t>
        </is>
      </c>
      <c r="J5" t="inlineStr">
        <is>
          <t>pago en 2 partes</t>
        </is>
      </c>
      <c r="K5" t="inlineStr">
        <is>
          <t>VENTA</t>
        </is>
      </c>
      <c r="M5" t="inlineStr">
        <is>
          <t>precio referencial</t>
        </is>
      </c>
    </row>
    <row r="6">
      <c r="A6" t="inlineStr">
        <is>
          <t>2024-01-10</t>
        </is>
      </c>
      <c r="B6" t="inlineStr">
        <is>
          <t>tienda cusco local</t>
        </is>
      </c>
      <c r="C6" t="inlineStr">
        <is>
          <t>guantes llama</t>
        </is>
      </c>
      <c r="D6" t="n">
        <v>5</v>
      </c>
      <c r="E6" t="n">
        <v>45</v>
      </c>
      <c r="F6">
        <f>E7*D7</f>
        <v/>
      </c>
      <c r="H6" s="4" t="inlineStr">
        <is>
          <t>PAGADO</t>
        </is>
      </c>
      <c r="I6" t="inlineStr">
        <is>
          <t>Maria</t>
        </is>
      </c>
      <c r="J6" t="inlineStr"/>
      <c r="K6" t="inlineStr">
        <is>
          <t>venta</t>
        </is>
      </c>
    </row>
    <row r="7">
      <c r="A7" s="6" t="inlineStr">
        <is>
          <t>12/1</t>
        </is>
      </c>
      <c r="B7" s="6" t="inlineStr">
        <is>
          <t>COMPRA MATERIAL</t>
        </is>
      </c>
      <c r="C7" s="6" t="inlineStr">
        <is>
          <t>Fibra alpaca kilo</t>
        </is>
      </c>
      <c r="D7" s="6" t="n">
        <v>20</v>
      </c>
      <c r="E7" s="6" t="n">
        <v>35</v>
      </c>
      <c r="F7" s="6">
        <f>E8*D8</f>
        <v/>
      </c>
      <c r="G7" s="6" t="n"/>
      <c r="H7" s="4" t="inlineStr">
        <is>
          <t>pagado</t>
        </is>
      </c>
      <c r="I7" s="6" t="inlineStr"/>
      <c r="J7" s="6" t="inlineStr">
        <is>
          <t>proveedor puno</t>
        </is>
      </c>
      <c r="K7" s="6" t="inlineStr">
        <is>
          <t>COMPRA</t>
        </is>
      </c>
    </row>
    <row r="8"/>
    <row r="9">
      <c r="A9" t="inlineStr">
        <is>
          <t>15/01/2024</t>
        </is>
      </c>
      <c r="B9" t="inlineStr">
        <is>
          <t>Export Germany GmbH</t>
        </is>
      </c>
      <c r="C9" t="inlineStr">
        <is>
          <t>Chal vicuña FINO</t>
        </is>
      </c>
      <c r="D9" t="n">
        <v>3</v>
      </c>
      <c r="E9" t="n">
        <v>420</v>
      </c>
      <c r="F9">
        <f>E11*D11</f>
        <v/>
      </c>
      <c r="G9" t="n">
        <v>155</v>
      </c>
      <c r="H9" s="4" t="inlineStr">
        <is>
          <t>PAGADO</t>
        </is>
      </c>
      <c r="I9" t="inlineStr">
        <is>
          <t>Juan</t>
        </is>
      </c>
      <c r="J9" t="inlineStr">
        <is>
          <t>muy buenos!!</t>
        </is>
      </c>
      <c r="K9" t="inlineStr">
        <is>
          <t>VENTA</t>
        </is>
      </c>
    </row>
    <row r="10">
      <c r="A10" t="inlineStr">
        <is>
          <t>18-01-24</t>
        </is>
      </c>
      <c r="B10" t="inlineStr">
        <is>
          <t>Rosa Mamani</t>
        </is>
      </c>
      <c r="C10" t="inlineStr">
        <is>
          <t>Gorros x docena</t>
        </is>
      </c>
      <c r="D10" t="n">
        <v>12</v>
      </c>
      <c r="E10" t="n">
        <v>28</v>
      </c>
      <c r="F10">
        <f>E12*D12</f>
        <v/>
      </c>
      <c r="H10" s="5" t="inlineStr">
        <is>
          <t>DEBE 50</t>
        </is>
      </c>
      <c r="I10" t="inlineStr">
        <is>
          <t>Maria</t>
        </is>
      </c>
      <c r="J10" t="inlineStr">
        <is>
          <t>cliente fija</t>
        </is>
      </c>
      <c r="K10" t="inlineStr">
        <is>
          <t>venta</t>
        </is>
      </c>
      <c r="M10" t="inlineStr">
        <is>
          <t>tipo cambio 2.72??</t>
        </is>
      </c>
    </row>
    <row r="11">
      <c r="A11" s="7" t="inlineStr">
        <is>
          <t>Ene 20</t>
        </is>
      </c>
      <c r="B11" s="7" t="inlineStr">
        <is>
          <t>gasto luz</t>
        </is>
      </c>
      <c r="C11" s="7" t="inlineStr">
        <is>
          <t>LUZ ENERO</t>
        </is>
      </c>
      <c r="D11" s="7" t="n">
        <v>1</v>
      </c>
      <c r="E11" s="7" t="n">
        <v>85</v>
      </c>
      <c r="F11" s="7" t="n">
        <v>85</v>
      </c>
      <c r="G11" s="7" t="n"/>
      <c r="H11" s="4" t="inlineStr">
        <is>
          <t>pagado</t>
        </is>
      </c>
      <c r="I11" s="7" t="inlineStr"/>
      <c r="J11" s="7" t="inlineStr"/>
      <c r="K11" s="7" t="inlineStr">
        <is>
          <t>GASTO</t>
        </is>
      </c>
    </row>
    <row r="12">
      <c r="A12" t="inlineStr">
        <is>
          <t>22/01/2024</t>
        </is>
      </c>
      <c r="B12" t="inlineStr">
        <is>
          <t>tienda miraflores</t>
        </is>
      </c>
      <c r="C12" t="inlineStr">
        <is>
          <t>Tapiz andino grande</t>
        </is>
      </c>
      <c r="D12" t="n">
        <v>1</v>
      </c>
      <c r="E12" t="n">
        <v>650</v>
      </c>
      <c r="F12">
        <f>E14*D14</f>
        <v/>
      </c>
      <c r="G12" t="n">
        <v>240</v>
      </c>
      <c r="H12" s="4" t="inlineStr">
        <is>
          <t>PAGADO</t>
        </is>
      </c>
      <c r="I12" t="inlineStr">
        <is>
          <t>Juan</t>
        </is>
      </c>
      <c r="J12" t="inlineStr">
        <is>
          <t>consignacion??</t>
        </is>
      </c>
      <c r="K12" t="inlineStr">
        <is>
          <t>VENTA</t>
        </is>
      </c>
    </row>
    <row r="13">
      <c r="A13" s="6" t="inlineStr">
        <is>
          <t>25/01</t>
        </is>
      </c>
      <c r="B13" s="6" t="inlineStr">
        <is>
          <t>COMPRA MATERIAL</t>
        </is>
      </c>
      <c r="C13" s="6" t="inlineStr">
        <is>
          <t>lana merino</t>
        </is>
      </c>
      <c r="D13" s="6" t="n">
        <v>15</v>
      </c>
      <c r="E13" s="6" t="n">
        <v>42</v>
      </c>
      <c r="F13" s="6">
        <f>E15*D15</f>
        <v/>
      </c>
      <c r="G13" s="6" t="n"/>
      <c r="H13" s="4" t="inlineStr">
        <is>
          <t>pagado</t>
        </is>
      </c>
      <c r="I13" s="6" t="inlineStr"/>
      <c r="J13" s="6" t="inlineStr">
        <is>
          <t>mercado artesanal</t>
        </is>
      </c>
      <c r="K13" s="6" t="inlineStr">
        <is>
          <t>COMPRA</t>
        </is>
      </c>
    </row>
    <row r="14">
      <c r="A14" t="inlineStr">
        <is>
          <t>30/01/2024</t>
        </is>
      </c>
      <c r="B14" t="inlineStr">
        <is>
          <t>Sra. Tanaka Japon</t>
        </is>
      </c>
      <c r="C14" t="inlineStr">
        <is>
          <t>Set alpaca premium</t>
        </is>
      </c>
      <c r="D14" t="n">
        <v>2</v>
      </c>
      <c r="E14" t="n">
        <v>890</v>
      </c>
      <c r="F14">
        <f>E16*D16</f>
        <v/>
      </c>
      <c r="G14" t="n">
        <v>328</v>
      </c>
      <c r="H14" s="4" t="inlineStr">
        <is>
          <t>PAGADO</t>
        </is>
      </c>
      <c r="I14" t="inlineStr">
        <is>
          <t>Maria</t>
        </is>
      </c>
      <c r="J14" t="inlineStr">
        <is>
          <t>¡¡envio DHL!!</t>
        </is>
      </c>
      <c r="K14" t="inlineStr">
        <is>
          <t>VENTA</t>
        </is>
      </c>
    </row>
    <row r="15">
      <c r="B15" t="inlineStr">
        <is>
          <t>TOTAL ENERO???</t>
        </is>
      </c>
      <c r="F15">
        <f>SUM(F5:F16)</f>
        <v/>
      </c>
      <c r="J15" t="inlineStr">
        <is>
          <t>revisar</t>
        </is>
      </c>
    </row>
    <row r="16"/>
    <row r="17">
      <c r="A17" s="8" t="inlineStr">
        <is>
          <t>02/02/2024</t>
        </is>
      </c>
      <c r="B17" s="8" t="inlineStr">
        <is>
          <t>boutique paris</t>
        </is>
      </c>
      <c r="C17" s="8" t="inlineStr">
        <is>
          <t>Chalina baby alpaca</t>
        </is>
      </c>
      <c r="D17" s="8" t="n">
        <v>4</v>
      </c>
      <c r="E17" s="8" t="n">
        <v>195</v>
      </c>
      <c r="F17" s="8">
        <f>E20*D20</f>
        <v/>
      </c>
      <c r="G17" s="8" t="n">
        <v>72</v>
      </c>
      <c r="H17" s="8" t="inlineStr">
        <is>
          <t>PAGADO</t>
        </is>
      </c>
      <c r="I17" s="8" t="inlineStr">
        <is>
          <t>Maria</t>
        </is>
      </c>
      <c r="J17" s="8" t="inlineStr"/>
      <c r="K17" s="8" t="inlineStr">
        <is>
          <t>VENTA</t>
        </is>
      </c>
    </row>
    <row r="18">
      <c r="A18" s="6" t="inlineStr">
        <is>
          <t>5/Feb/2024</t>
        </is>
      </c>
      <c r="B18" s="6" t="inlineStr">
        <is>
          <t>COMPRA</t>
        </is>
      </c>
      <c r="C18" s="6" t="inlineStr">
        <is>
          <t>Agujas y materiales</t>
        </is>
      </c>
      <c r="D18" s="6" t="n">
        <v>1</v>
      </c>
      <c r="E18" s="6" t="n">
        <v>120</v>
      </c>
      <c r="F18" s="6" t="n">
        <v>120</v>
      </c>
      <c r="G18" s="6" t="n"/>
      <c r="H18" s="4" t="inlineStr">
        <is>
          <t>pagado</t>
        </is>
      </c>
      <c r="I18" s="6" t="inlineStr"/>
      <c r="J18" s="6" t="inlineStr">
        <is>
          <t>ferreteria</t>
        </is>
      </c>
      <c r="K18" s="6" t="inlineStr">
        <is>
          <t>compra</t>
        </is>
      </c>
    </row>
    <row r="19">
      <c r="A19" t="inlineStr">
        <is>
          <t>feb 8</t>
        </is>
      </c>
      <c r="B19" t="inlineStr">
        <is>
          <t>cliente canada</t>
        </is>
      </c>
      <c r="C19" t="inlineStr">
        <is>
          <t>Poncho alpaca</t>
        </is>
      </c>
      <c r="D19" t="n">
        <v>1</v>
      </c>
      <c r="E19" t="n">
        <v>380</v>
      </c>
      <c r="F19">
        <f>E22*D22</f>
        <v/>
      </c>
      <c r="G19" t="n">
        <v>140</v>
      </c>
      <c r="H19" s="5" t="inlineStr">
        <is>
          <t>pendiente</t>
        </is>
      </c>
      <c r="I19" t="inlineStr">
        <is>
          <t>Juan</t>
        </is>
      </c>
      <c r="J19" t="inlineStr">
        <is>
          <t>NO HA PAGADO AUN</t>
        </is>
      </c>
      <c r="K19" t="inlineStr">
        <is>
          <t>VENTA</t>
        </is>
      </c>
    </row>
    <row r="20">
      <c r="A20" t="inlineStr">
        <is>
          <t>10/02</t>
        </is>
      </c>
      <c r="B20" t="inlineStr">
        <is>
          <t>exportacion EEUU</t>
        </is>
      </c>
      <c r="C20" t="inlineStr">
        <is>
          <t>Sweaters x6</t>
        </is>
      </c>
      <c r="D20" t="n">
        <v>6</v>
      </c>
      <c r="E20" t="n">
        <v>220</v>
      </c>
      <c r="F20">
        <f>E23*D23</f>
        <v/>
      </c>
      <c r="G20" t="n">
        <v>81</v>
      </c>
      <c r="H20" s="4" t="inlineStr">
        <is>
          <t>PAGADO</t>
        </is>
      </c>
      <c r="I20" t="inlineStr">
        <is>
          <t>Maria</t>
        </is>
      </c>
      <c r="J20" t="inlineStr">
        <is>
          <t>Amazon order</t>
        </is>
      </c>
      <c r="K20" t="inlineStr">
        <is>
          <t>VENTA</t>
        </is>
      </c>
    </row>
    <row r="21">
      <c r="A21" t="inlineStr">
        <is>
          <t>12/2/24</t>
        </is>
      </c>
      <c r="B21" t="inlineStr">
        <is>
          <t>Sr Gonzalez Lima</t>
        </is>
      </c>
      <c r="C21" t="inlineStr">
        <is>
          <t>Alfombra</t>
        </is>
      </c>
      <c r="D21" t="n">
        <v>1</v>
      </c>
      <c r="E21" t="n">
        <v>450</v>
      </c>
      <c r="F21">
        <f>E24*D24</f>
        <v/>
      </c>
      <c r="H21" s="4" t="inlineStr">
        <is>
          <t>pagado</t>
        </is>
      </c>
      <c r="I21" t="inlineStr">
        <is>
          <t>Juan</t>
        </is>
      </c>
      <c r="J21" t="inlineStr"/>
      <c r="K21" t="inlineStr">
        <is>
          <t>venta</t>
        </is>
      </c>
    </row>
    <row r="22">
      <c r="A22" t="inlineStr">
        <is>
          <t>14-Feb</t>
        </is>
      </c>
      <c r="B22" t="inlineStr">
        <is>
          <t>SAN VALENTIN descuento</t>
        </is>
      </c>
      <c r="C22" t="inlineStr">
        <is>
          <t>varios productos</t>
        </is>
      </c>
      <c r="D22" t="n">
        <v>10</v>
      </c>
      <c r="E22" t="n">
        <v>85</v>
      </c>
      <c r="F22">
        <f>E25*D25</f>
        <v/>
      </c>
      <c r="H22" s="4" t="inlineStr">
        <is>
          <t>PAGADO</t>
        </is>
      </c>
      <c r="I22" t="inlineStr">
        <is>
          <t>Maria</t>
        </is>
      </c>
      <c r="J22" t="inlineStr">
        <is>
          <t>feria san valentin</t>
        </is>
      </c>
      <c r="K22" t="inlineStr">
        <is>
          <t>VENTA</t>
        </is>
      </c>
    </row>
    <row r="23">
      <c r="A23" s="6" t="inlineStr">
        <is>
          <t>15/02/2024</t>
        </is>
      </c>
      <c r="B23" s="6" t="inlineStr">
        <is>
          <t>COMPRA FIBRA</t>
        </is>
      </c>
      <c r="C23" s="6" t="inlineStr">
        <is>
          <t>Alpaca top grado A</t>
        </is>
      </c>
      <c r="D23" s="6" t="n">
        <v>30</v>
      </c>
      <c r="E23" s="6" t="n">
        <v>38</v>
      </c>
      <c r="F23" s="6">
        <f>E26*D26</f>
        <v/>
      </c>
      <c r="G23" s="6" t="n"/>
      <c r="H23" s="4" t="inlineStr">
        <is>
          <t>pagado</t>
        </is>
      </c>
      <c r="I23" s="6" t="inlineStr"/>
      <c r="J23" s="6" t="inlineStr">
        <is>
          <t>proveedor Juliaca</t>
        </is>
      </c>
      <c r="K23" s="6" t="inlineStr">
        <is>
          <t>COMPRA</t>
        </is>
      </c>
    </row>
    <row r="24"/>
    <row r="25">
      <c r="A25" t="inlineStr">
        <is>
          <t>20/02/2024</t>
        </is>
      </c>
      <c r="B25" t="inlineStr">
        <is>
          <t>tienda antares</t>
        </is>
      </c>
      <c r="C25" t="inlineStr">
        <is>
          <t>Guantes y gorros set</t>
        </is>
      </c>
      <c r="D25" t="n">
        <v>8</v>
      </c>
      <c r="E25" t="n">
        <v>65</v>
      </c>
      <c r="F25">
        <f>E29*D29</f>
        <v/>
      </c>
      <c r="H25" s="4" t="inlineStr">
        <is>
          <t>pagado</t>
        </is>
      </c>
      <c r="I25" t="inlineStr">
        <is>
          <t>Maria</t>
        </is>
      </c>
      <c r="J25" t="inlineStr"/>
      <c r="K25" t="inlineStr">
        <is>
          <t>venta</t>
        </is>
      </c>
    </row>
    <row r="26">
      <c r="A26" t="inlineStr">
        <is>
          <t>22/2</t>
        </is>
      </c>
      <c r="B26" t="inlineStr">
        <is>
          <t>export australia</t>
        </is>
      </c>
      <c r="C26" t="inlineStr">
        <is>
          <t>Manta alpaca king</t>
        </is>
      </c>
      <c r="D26" t="n">
        <v>2</v>
      </c>
      <c r="E26" t="n">
        <v>520</v>
      </c>
      <c r="F26">
        <f>E30*D30</f>
        <v/>
      </c>
      <c r="G26" t="n">
        <v>192</v>
      </c>
      <c r="H26" s="4" t="inlineStr">
        <is>
          <t>PAGADO</t>
        </is>
      </c>
      <c r="I26" t="inlineStr">
        <is>
          <t>Juan</t>
        </is>
      </c>
      <c r="J26" t="inlineStr">
        <is>
          <t>cliente nuevo!!</t>
        </is>
      </c>
      <c r="K26" t="inlineStr">
        <is>
          <t>VENTA</t>
        </is>
      </c>
    </row>
    <row r="27">
      <c r="A27" t="inlineStr">
        <is>
          <t>28/02/2024</t>
        </is>
      </c>
      <c r="B27" t="inlineStr">
        <is>
          <t>Rosa Mamani</t>
        </is>
      </c>
      <c r="C27" t="inlineStr">
        <is>
          <t>gorros 1/2 doc</t>
        </is>
      </c>
      <c r="D27" t="n">
        <v>6</v>
      </c>
      <c r="E27" t="n">
        <v>28</v>
      </c>
      <c r="F27">
        <f>E31*D31</f>
        <v/>
      </c>
      <c r="H27" s="5" t="inlineStr">
        <is>
          <t>DEBE MAS</t>
        </is>
      </c>
      <c r="I27" t="inlineStr">
        <is>
          <t>Maria</t>
        </is>
      </c>
      <c r="J27" t="inlineStr">
        <is>
          <t>ya debe de enero</t>
        </is>
      </c>
      <c r="K27" t="inlineStr">
        <is>
          <t>venta</t>
        </is>
      </c>
    </row>
    <row r="28">
      <c r="A28" s="7" t="inlineStr">
        <is>
          <t>29/02/2024</t>
        </is>
      </c>
      <c r="B28" s="7" t="inlineStr">
        <is>
          <t>gasto alquiler</t>
        </is>
      </c>
      <c r="C28" s="7" t="inlineStr">
        <is>
          <t>ALQUILER TALLER Feb</t>
        </is>
      </c>
      <c r="D28" s="7" t="n">
        <v>1</v>
      </c>
      <c r="E28" s="7" t="n">
        <v>600</v>
      </c>
      <c r="F28" s="7" t="n">
        <v>600</v>
      </c>
      <c r="G28" s="7" t="n"/>
      <c r="H28" s="4" t="inlineStr">
        <is>
          <t>pagado</t>
        </is>
      </c>
      <c r="I28" s="7" t="inlineStr"/>
      <c r="J28" s="7" t="inlineStr"/>
      <c r="K28" s="7" t="inlineStr">
        <is>
          <t>GASTO</t>
        </is>
      </c>
    </row>
    <row r="29">
      <c r="B29" t="inlineStr">
        <is>
          <t>TOTAL FEBRERO</t>
        </is>
      </c>
      <c r="F29">
        <f>SUM(F20:F32)</f>
        <v/>
      </c>
    </row>
    <row r="30">
      <c r="M30" t="inlineStr">
        <is>
          <t>cotizar DHL mas barato</t>
        </is>
      </c>
    </row>
    <row r="31">
      <c r="A31" t="inlineStr">
        <is>
          <t>5/03/2024</t>
        </is>
      </c>
      <c r="B31" t="inlineStr">
        <is>
          <t>Nordstrom USA</t>
        </is>
      </c>
      <c r="C31" t="inlineStr">
        <is>
          <t>Chalinas x 10</t>
        </is>
      </c>
      <c r="D31" t="n">
        <v>10</v>
      </c>
      <c r="E31" t="n">
        <v>175</v>
      </c>
      <c r="F31">
        <f>E36*D36</f>
        <v/>
      </c>
      <c r="G31" t="n">
        <v>64</v>
      </c>
      <c r="H31" s="4" t="inlineStr">
        <is>
          <t>PAGADO</t>
        </is>
      </c>
      <c r="I31" t="inlineStr">
        <is>
          <t>Juan</t>
        </is>
      </c>
      <c r="J31" t="inlineStr">
        <is>
          <t>pedido grande</t>
        </is>
      </c>
      <c r="K31" t="inlineStr">
        <is>
          <t>VENTA</t>
        </is>
      </c>
    </row>
    <row r="32">
      <c r="A32" t="inlineStr">
        <is>
          <t>mar 7</t>
        </is>
      </c>
      <c r="B32" t="inlineStr">
        <is>
          <t>cliente local feria</t>
        </is>
      </c>
      <c r="C32" t="inlineStr">
        <is>
          <t>tejidos varios</t>
        </is>
      </c>
      <c r="F32" t="n">
        <v>340</v>
      </c>
      <c r="H32" s="4" t="inlineStr">
        <is>
          <t>pagado</t>
        </is>
      </c>
      <c r="I32" t="inlineStr">
        <is>
          <t>Maria</t>
        </is>
      </c>
      <c r="J32" t="inlineStr">
        <is>
          <t>no anote bien</t>
        </is>
      </c>
      <c r="K32" t="inlineStr">
        <is>
          <t>VENTA</t>
        </is>
      </c>
    </row>
    <row r="33">
      <c r="A33" s="8" t="inlineStr">
        <is>
          <t>8-3-24</t>
        </is>
      </c>
      <c r="B33" s="8" t="inlineStr">
        <is>
          <t>COMPRA LANA</t>
        </is>
      </c>
      <c r="C33" s="8" t="inlineStr">
        <is>
          <t>merino + alpaca mezcla</t>
        </is>
      </c>
      <c r="D33" s="8" t="n">
        <v>25</v>
      </c>
      <c r="E33" s="8" t="n">
        <v>40</v>
      </c>
      <c r="F33" s="8">
        <f>E38*D38</f>
        <v/>
      </c>
      <c r="G33" s="8" t="n"/>
      <c r="H33" s="8" t="inlineStr">
        <is>
          <t>pagado</t>
        </is>
      </c>
      <c r="I33" s="8" t="inlineStr"/>
      <c r="J33" s="8" t="inlineStr"/>
      <c r="K33" s="8" t="inlineStr">
        <is>
          <t>COMPRA</t>
        </is>
      </c>
    </row>
    <row r="34">
      <c r="A34" t="inlineStr">
        <is>
          <t>12/03</t>
        </is>
      </c>
      <c r="B34" t="inlineStr">
        <is>
          <t>Export Alemania</t>
        </is>
      </c>
      <c r="C34" t="inlineStr">
        <is>
          <t>Sweater vicuña</t>
        </is>
      </c>
      <c r="D34" t="n">
        <v>2</v>
      </c>
      <c r="E34" t="n">
        <v>780</v>
      </c>
      <c r="F34">
        <f>E39*D39</f>
        <v/>
      </c>
      <c r="G34" t="n">
        <v>287</v>
      </c>
      <c r="H34" s="4" t="inlineStr">
        <is>
          <t>PAGADO</t>
        </is>
      </c>
      <c r="I34" t="inlineStr">
        <is>
          <t>Juan</t>
        </is>
      </c>
      <c r="J34" t="inlineStr">
        <is>
          <t>VIP!!</t>
        </is>
      </c>
      <c r="K34" t="inlineStr">
        <is>
          <t>VENTA</t>
        </is>
      </c>
    </row>
    <row r="35">
      <c r="A35" t="inlineStr">
        <is>
          <t>15/3/2024</t>
        </is>
      </c>
      <c r="B35" t="inlineStr">
        <is>
          <t>boutique miraflores</t>
        </is>
      </c>
      <c r="C35" t="inlineStr">
        <is>
          <t>display navidad??</t>
        </is>
      </c>
      <c r="D35" t="n">
        <v>5</v>
      </c>
      <c r="E35" t="n">
        <v>210</v>
      </c>
      <c r="F35">
        <f>E40*D40</f>
        <v/>
      </c>
      <c r="H35" s="9" t="inlineStr">
        <is>
          <t>consignac</t>
        </is>
      </c>
      <c r="I35" t="inlineStr">
        <is>
          <t>Maria</t>
        </is>
      </c>
      <c r="J35" t="inlineStr">
        <is>
          <t>aun no pagan</t>
        </is>
      </c>
      <c r="K35" t="inlineStr">
        <is>
          <t>VENTA</t>
        </is>
      </c>
    </row>
    <row r="36">
      <c r="A36" s="6" t="inlineStr">
        <is>
          <t>marzo 18</t>
        </is>
      </c>
      <c r="B36" s="6" t="inlineStr">
        <is>
          <t>Juan Ccama artesano</t>
        </is>
      </c>
      <c r="C36" s="6" t="inlineStr">
        <is>
          <t>compra tejido a el</t>
        </is>
      </c>
      <c r="D36" s="6" t="n">
        <v>3</v>
      </c>
      <c r="E36" s="6" t="n">
        <v>90</v>
      </c>
      <c r="F36" s="6">
        <f>E41*D41</f>
        <v/>
      </c>
      <c r="G36" s="6" t="n"/>
      <c r="H36" s="4" t="inlineStr">
        <is>
          <t>pagado</t>
        </is>
      </c>
      <c r="I36" s="6" t="inlineStr"/>
      <c r="J36" s="6" t="inlineStr">
        <is>
          <t>subcontratar</t>
        </is>
      </c>
      <c r="K36" s="6" t="inlineStr">
        <is>
          <t>COMPRA</t>
        </is>
      </c>
    </row>
    <row r="37">
      <c r="A37" t="inlineStr">
        <is>
          <t>20/03/2024</t>
        </is>
      </c>
      <c r="B37" t="inlineStr">
        <is>
          <t>Sra Watanabe Japon</t>
        </is>
      </c>
      <c r="C37" t="inlineStr">
        <is>
          <t>set regalo alpaca</t>
        </is>
      </c>
      <c r="D37" t="n">
        <v>3</v>
      </c>
      <c r="E37" t="n">
        <v>650</v>
      </c>
      <c r="F37">
        <f>E42*D42</f>
        <v/>
      </c>
      <c r="G37" t="n">
        <v>239</v>
      </c>
      <c r="H37" s="4" t="inlineStr">
        <is>
          <t>PAGADO</t>
        </is>
      </c>
      <c r="I37" t="inlineStr">
        <is>
          <t>Juan</t>
        </is>
      </c>
      <c r="J37" t="inlineStr">
        <is>
          <t>quiere mas!!</t>
        </is>
      </c>
      <c r="K37" t="inlineStr">
        <is>
          <t>VENTA</t>
        </is>
      </c>
    </row>
    <row r="38">
      <c r="A38" t="inlineStr">
        <is>
          <t>22/3</t>
        </is>
      </c>
      <c r="B38" t="inlineStr">
        <is>
          <t>feria artesanal</t>
        </is>
      </c>
      <c r="C38" t="inlineStr">
        <is>
          <t>varios colores</t>
        </is>
      </c>
      <c r="D38" t="n">
        <v>15</v>
      </c>
      <c r="E38" t="n">
        <v>95</v>
      </c>
      <c r="F38">
        <f>E43*D43</f>
        <v/>
      </c>
      <c r="H38" s="4" t="inlineStr">
        <is>
          <t>pagado</t>
        </is>
      </c>
      <c r="I38" t="inlineStr">
        <is>
          <t>Maria</t>
        </is>
      </c>
      <c r="J38" t="inlineStr">
        <is>
          <t>efectivo</t>
        </is>
      </c>
      <c r="K38" t="inlineStr">
        <is>
          <t>VENTA</t>
        </is>
      </c>
    </row>
    <row r="39">
      <c r="A39" s="7" t="inlineStr">
        <is>
          <t>25/03/2024</t>
        </is>
      </c>
      <c r="B39" s="7" t="inlineStr">
        <is>
          <t>gasto sueldos</t>
        </is>
      </c>
      <c r="C39" s="7" t="inlineStr">
        <is>
          <t>SUELDO MARZO Maria</t>
        </is>
      </c>
      <c r="D39" s="7" t="n">
        <v>1</v>
      </c>
      <c r="E39" s="7" t="n">
        <v>900</v>
      </c>
      <c r="F39" s="7" t="n">
        <v>900</v>
      </c>
      <c r="G39" s="7" t="n"/>
      <c r="H39" s="4" t="inlineStr">
        <is>
          <t>pagado</t>
        </is>
      </c>
      <c r="I39" s="7" t="inlineStr"/>
      <c r="J39" s="7" t="inlineStr"/>
      <c r="K39" s="7" t="inlineStr">
        <is>
          <t>GASTO</t>
        </is>
      </c>
    </row>
    <row r="40">
      <c r="A40" s="7" t="inlineStr">
        <is>
          <t>25/03</t>
        </is>
      </c>
      <c r="B40" s="7" t="inlineStr">
        <is>
          <t>gasto sueldos</t>
        </is>
      </c>
      <c r="C40" s="7" t="inlineStr">
        <is>
          <t>SUELDO MARZO Juan</t>
        </is>
      </c>
      <c r="D40" s="7" t="n">
        <v>1</v>
      </c>
      <c r="E40" s="7" t="n">
        <v>900</v>
      </c>
      <c r="F40" s="7" t="n">
        <v>900</v>
      </c>
      <c r="G40" s="7" t="n"/>
      <c r="H40" s="4" t="inlineStr">
        <is>
          <t>pagado</t>
        </is>
      </c>
      <c r="I40" s="7" t="inlineStr"/>
      <c r="J40" s="7" t="inlineStr"/>
      <c r="K40" s="7" t="inlineStr">
        <is>
          <t>GASTO</t>
        </is>
      </c>
    </row>
    <row r="41">
      <c r="A41" t="inlineStr">
        <is>
          <t>28/03/2024</t>
        </is>
      </c>
      <c r="B41" t="inlineStr">
        <is>
          <t>exportacion canada</t>
        </is>
      </c>
      <c r="C41" t="inlineStr">
        <is>
          <t>chalinas 1/2 doc</t>
        </is>
      </c>
      <c r="D41" t="n">
        <v>6</v>
      </c>
      <c r="E41" t="n">
        <v>195</v>
      </c>
      <c r="F41">
        <f>E46*D46</f>
        <v/>
      </c>
      <c r="G41" t="n">
        <v>72</v>
      </c>
      <c r="H41" s="4" t="inlineStr">
        <is>
          <t>PAGADO</t>
        </is>
      </c>
      <c r="I41" t="inlineStr">
        <is>
          <t>Juan</t>
        </is>
      </c>
      <c r="J41" t="inlineStr"/>
      <c r="K41" t="inlineStr">
        <is>
          <t>VENTA</t>
        </is>
      </c>
    </row>
    <row r="42">
      <c r="A42" t="inlineStr">
        <is>
          <t>31/3</t>
        </is>
      </c>
      <c r="B42" t="inlineStr">
        <is>
          <t>INVENTARIO</t>
        </is>
      </c>
      <c r="C42" t="inlineStr">
        <is>
          <t>revision stock</t>
        </is>
      </c>
      <c r="H42" s="5" t="inlineStr">
        <is>
          <t>PENDIENTE</t>
        </is>
      </c>
      <c r="I42" t="inlineStr">
        <is>
          <t>Maria</t>
        </is>
      </c>
      <c r="J42" t="inlineStr">
        <is>
          <t>contar todo!!</t>
        </is>
      </c>
    </row>
    <row r="43">
      <c r="B43" t="inlineStr">
        <is>
          <t>Total Marzo</t>
        </is>
      </c>
      <c r="F43">
        <f>SUM(F36:F47)</f>
        <v/>
      </c>
    </row>
    <row r="44"/>
    <row r="45">
      <c r="A45" t="inlineStr">
        <is>
          <t>Abr 3</t>
        </is>
      </c>
      <c r="B45" t="inlineStr">
        <is>
          <t>tienda lima centro</t>
        </is>
      </c>
      <c r="C45" t="inlineStr">
        <is>
          <t>gorros docena</t>
        </is>
      </c>
      <c r="D45" t="n">
        <v>12</v>
      </c>
      <c r="E45" t="n">
        <v>32</v>
      </c>
      <c r="F45">
        <f>E51*D51</f>
        <v/>
      </c>
      <c r="H45" s="4" t="inlineStr">
        <is>
          <t>pagado</t>
        </is>
      </c>
      <c r="I45" t="inlineStr">
        <is>
          <t>Maria</t>
        </is>
      </c>
      <c r="J45" t="inlineStr"/>
      <c r="K45" t="inlineStr">
        <is>
          <t>venta</t>
        </is>
      </c>
    </row>
    <row r="46">
      <c r="A46" t="inlineStr">
        <is>
          <t>5/04/2024</t>
        </is>
      </c>
      <c r="B46" t="inlineStr">
        <is>
          <t>Online Etsy</t>
        </is>
      </c>
      <c r="C46" t="inlineStr">
        <is>
          <t>Chalina baby alpaca</t>
        </is>
      </c>
      <c r="D46" t="n">
        <v>3</v>
      </c>
      <c r="E46" t="n">
        <v>210</v>
      </c>
      <c r="F46">
        <f>E52*D52</f>
        <v/>
      </c>
      <c r="G46" t="n">
        <v>77</v>
      </c>
      <c r="H46" s="4" t="inlineStr">
        <is>
          <t>PAGADO</t>
        </is>
      </c>
      <c r="I46" t="inlineStr">
        <is>
          <t>Juan</t>
        </is>
      </c>
      <c r="J46" t="inlineStr">
        <is>
          <t>primer pedido etsy</t>
        </is>
      </c>
      <c r="K46" t="inlineStr">
        <is>
          <t>VENTA</t>
        </is>
      </c>
    </row>
    <row r="47">
      <c r="A47" s="6" t="inlineStr">
        <is>
          <t>abr 8</t>
        </is>
      </c>
      <c r="B47" s="6" t="inlineStr">
        <is>
          <t>COMPRA fibra</t>
        </is>
      </c>
      <c r="C47" s="6" t="inlineStr">
        <is>
          <t>alpaca fibra top</t>
        </is>
      </c>
      <c r="D47" s="6" t="n">
        <v>40</v>
      </c>
      <c r="E47" s="6" t="n">
        <v>36</v>
      </c>
      <c r="F47" s="6">
        <f>E53*D53</f>
        <v/>
      </c>
      <c r="G47" s="6" t="n"/>
      <c r="H47" s="4" t="inlineStr">
        <is>
          <t>pagado</t>
        </is>
      </c>
      <c r="I47" s="6" t="inlineStr"/>
      <c r="J47" s="6" t="inlineStr">
        <is>
          <t>mejor precio!!</t>
        </is>
      </c>
      <c r="K47" s="6" t="inlineStr">
        <is>
          <t>COMPRA</t>
        </is>
      </c>
    </row>
    <row r="48">
      <c r="A48" t="inlineStr">
        <is>
          <t>10/4</t>
        </is>
      </c>
      <c r="B48" t="inlineStr">
        <is>
          <t>Sr Smith UK</t>
        </is>
      </c>
      <c r="C48" t="inlineStr">
        <is>
          <t>poncho alpaca</t>
        </is>
      </c>
      <c r="D48" t="n">
        <v>1</v>
      </c>
      <c r="E48" t="n">
        <v>420</v>
      </c>
      <c r="F48">
        <f>E54*D54</f>
        <v/>
      </c>
      <c r="G48" t="n">
        <v>155</v>
      </c>
      <c r="H48" s="5" t="inlineStr">
        <is>
          <t>pendiente</t>
        </is>
      </c>
      <c r="I48" t="inlineStr">
        <is>
          <t>Juan</t>
        </is>
      </c>
      <c r="J48" t="inlineStr">
        <is>
          <t>wire transfer</t>
        </is>
      </c>
      <c r="K48" t="inlineStr">
        <is>
          <t>VENTA</t>
        </is>
      </c>
    </row>
    <row r="49">
      <c r="A49" s="8" t="inlineStr">
        <is>
          <t>15/04/24</t>
        </is>
      </c>
      <c r="B49" s="8" t="inlineStr">
        <is>
          <t>feria San Isidro</t>
        </is>
      </c>
      <c r="C49" s="8" t="inlineStr">
        <is>
          <t>varios</t>
        </is>
      </c>
      <c r="D49" s="8" t="n">
        <v>20</v>
      </c>
      <c r="E49" s="8" t="n">
        <v>78</v>
      </c>
      <c r="F49" s="8">
        <f>E55*D55</f>
        <v/>
      </c>
      <c r="G49" s="8" t="n"/>
      <c r="H49" s="8" t="inlineStr">
        <is>
          <t>PAGADO</t>
        </is>
      </c>
      <c r="I49" s="8" t="inlineStr">
        <is>
          <t>Maria</t>
        </is>
      </c>
      <c r="J49" s="8" t="inlineStr">
        <is>
          <t>efectivo caja</t>
        </is>
      </c>
      <c r="K49" s="8" t="inlineStr">
        <is>
          <t>VENTA</t>
        </is>
      </c>
    </row>
    <row r="50">
      <c r="A50" t="inlineStr">
        <is>
          <t>MAYO 2</t>
        </is>
      </c>
      <c r="B50" t="inlineStr">
        <is>
          <t>Etsy cliente USA</t>
        </is>
      </c>
      <c r="C50" t="inlineStr">
        <is>
          <t>set alpaca regalo</t>
        </is>
      </c>
      <c r="D50" t="n">
        <v>2</v>
      </c>
      <c r="E50" t="n">
        <v>320</v>
      </c>
      <c r="F50">
        <f>E56*D56</f>
        <v/>
      </c>
      <c r="G50" t="n">
        <v>118</v>
      </c>
      <c r="H50" s="4" t="inlineStr">
        <is>
          <t>PAGADO</t>
        </is>
      </c>
      <c r="I50" t="inlineStr">
        <is>
          <t>Juan</t>
        </is>
      </c>
      <c r="J50" t="inlineStr">
        <is>
          <t>5 estrellas!!</t>
        </is>
      </c>
      <c r="K50" t="inlineStr">
        <is>
          <t>VENTA</t>
        </is>
      </c>
    </row>
    <row r="51">
      <c r="A51" t="inlineStr">
        <is>
          <t>5/05/2024</t>
        </is>
      </c>
      <c r="B51" t="inlineStr">
        <is>
          <t>boutique surco</t>
        </is>
      </c>
      <c r="C51" t="inlineStr">
        <is>
          <t>Chalina vicuña</t>
        </is>
      </c>
      <c r="D51" t="n">
        <v>1</v>
      </c>
      <c r="E51" t="n">
        <v>580</v>
      </c>
      <c r="F51">
        <f>E57*D57</f>
        <v/>
      </c>
      <c r="H51" s="9" t="inlineStr">
        <is>
          <t>consig.</t>
        </is>
      </c>
      <c r="I51" t="inlineStr">
        <is>
          <t>Maria</t>
        </is>
      </c>
      <c r="J51" t="inlineStr"/>
      <c r="K51" t="inlineStr">
        <is>
          <t>VENTA</t>
        </is>
      </c>
    </row>
    <row r="52">
      <c r="A52" s="6" t="inlineStr">
        <is>
          <t>mayo 10</t>
        </is>
      </c>
      <c r="B52" s="6" t="inlineStr">
        <is>
          <t>COMPRA agujas</t>
        </is>
      </c>
      <c r="C52" s="6" t="inlineStr">
        <is>
          <t>agujas varios</t>
        </is>
      </c>
      <c r="D52" s="6" t="n">
        <v>1</v>
      </c>
      <c r="E52" s="6" t="n">
        <v>45</v>
      </c>
      <c r="F52" s="6" t="n">
        <v>45</v>
      </c>
      <c r="G52" s="6" t="n"/>
      <c r="H52" s="4" t="inlineStr">
        <is>
          <t>pagado</t>
        </is>
      </c>
      <c r="I52" s="6" t="inlineStr"/>
      <c r="J52" s="6" t="inlineStr"/>
      <c r="K52" s="6" t="inlineStr">
        <is>
          <t>compra</t>
        </is>
      </c>
    </row>
    <row r="53">
      <c r="A53" t="inlineStr">
        <is>
          <t>12/5</t>
        </is>
      </c>
      <c r="B53" t="inlineStr">
        <is>
          <t>exportacion noruega</t>
        </is>
      </c>
      <c r="C53" t="inlineStr">
        <is>
          <t>mantas alpaca x3</t>
        </is>
      </c>
      <c r="D53" t="n">
        <v>3</v>
      </c>
      <c r="E53" t="n">
        <v>490</v>
      </c>
      <c r="F53">
        <f>E59*D59</f>
        <v/>
      </c>
      <c r="G53" t="n">
        <v>180</v>
      </c>
      <c r="H53" s="4" t="inlineStr">
        <is>
          <t>PAGADO</t>
        </is>
      </c>
      <c r="I53" t="inlineStr">
        <is>
          <t>Juan</t>
        </is>
      </c>
      <c r="J53" t="inlineStr">
        <is>
          <t>cliente recurrente</t>
        </is>
      </c>
      <c r="K53" t="inlineStr">
        <is>
          <t>VENTA</t>
        </is>
      </c>
    </row>
    <row r="54">
      <c r="A54" t="inlineStr">
        <is>
          <t>20/05/2024</t>
        </is>
      </c>
      <c r="B54" t="inlineStr">
        <is>
          <t>Rosa Mamani</t>
        </is>
      </c>
      <c r="C54" t="inlineStr">
        <is>
          <t>gorros x docena</t>
        </is>
      </c>
      <c r="D54" t="n">
        <v>12</v>
      </c>
      <c r="E54" t="n">
        <v>30</v>
      </c>
      <c r="F54">
        <f>E60*D60</f>
        <v/>
      </c>
      <c r="H54" s="4" t="inlineStr">
        <is>
          <t>pagado</t>
        </is>
      </c>
      <c r="I54" t="inlineStr">
        <is>
          <t>Maria</t>
        </is>
      </c>
      <c r="J54" t="inlineStr">
        <is>
          <t>subio precio?</t>
        </is>
      </c>
      <c r="K54" t="inlineStr">
        <is>
          <t>venta</t>
        </is>
      </c>
    </row>
    <row r="55">
      <c r="A55" t="inlineStr">
        <is>
          <t>JUNIO 3</t>
        </is>
      </c>
      <c r="B55" t="inlineStr">
        <is>
          <t>Milan Fashion</t>
        </is>
      </c>
      <c r="C55" t="inlineStr">
        <is>
          <t>Chalinas premium x5</t>
        </is>
      </c>
      <c r="D55" t="n">
        <v>5</v>
      </c>
      <c r="E55" t="n">
        <v>380</v>
      </c>
      <c r="F55">
        <f>E61*D61</f>
        <v/>
      </c>
      <c r="G55" t="n">
        <v>140</v>
      </c>
      <c r="H55" s="4" t="inlineStr">
        <is>
          <t>PAGADO</t>
        </is>
      </c>
      <c r="I55" t="inlineStr">
        <is>
          <t>Juan</t>
        </is>
      </c>
      <c r="J55" t="inlineStr">
        <is>
          <t>feria milan ref!</t>
        </is>
      </c>
      <c r="K55" t="inlineStr">
        <is>
          <t>VENTA</t>
        </is>
      </c>
    </row>
    <row r="56">
      <c r="A56" s="6" t="inlineStr">
        <is>
          <t>jun 7</t>
        </is>
      </c>
      <c r="B56" s="6" t="inlineStr">
        <is>
          <t>COMPRA FIBRA</t>
        </is>
      </c>
      <c r="C56" s="6" t="inlineStr">
        <is>
          <t>vicuña fibra</t>
        </is>
      </c>
      <c r="D56" s="6" t="n">
        <v>5</v>
      </c>
      <c r="E56" s="6" t="n">
        <v>850</v>
      </c>
      <c r="F56" s="6">
        <f>E62*D62</f>
        <v/>
      </c>
      <c r="G56" s="6" t="n"/>
      <c r="H56" s="4" t="inlineStr">
        <is>
          <t>pagado</t>
        </is>
      </c>
      <c r="I56" s="6" t="inlineStr"/>
      <c r="J56" s="6" t="inlineStr">
        <is>
          <t>MUY CARA pero buena</t>
        </is>
      </c>
      <c r="K56" s="6" t="inlineStr">
        <is>
          <t>COMPRA</t>
        </is>
      </c>
    </row>
    <row r="57">
      <c r="A57" t="inlineStr">
        <is>
          <t>10/06/2024</t>
        </is>
      </c>
      <c r="B57" t="inlineStr">
        <is>
          <t>local cusco</t>
        </is>
      </c>
      <c r="C57" t="inlineStr">
        <is>
          <t>tapices varios</t>
        </is>
      </c>
      <c r="D57" t="n">
        <v>8</v>
      </c>
      <c r="E57" t="n">
        <v>120</v>
      </c>
      <c r="F57">
        <f>E63*D63</f>
        <v/>
      </c>
      <c r="H57" s="4" t="inlineStr">
        <is>
          <t>pagado</t>
        </is>
      </c>
      <c r="I57" t="inlineStr">
        <is>
          <t>Maria</t>
        </is>
      </c>
      <c r="J57" t="inlineStr"/>
      <c r="K57" t="inlineStr">
        <is>
          <t>venta</t>
        </is>
      </c>
    </row>
    <row r="58">
      <c r="A58" t="inlineStr">
        <is>
          <t>15/6</t>
        </is>
      </c>
      <c r="B58" t="inlineStr">
        <is>
          <t>export EEUU amazon</t>
        </is>
      </c>
      <c r="C58" t="inlineStr">
        <is>
          <t>Sweaters x4</t>
        </is>
      </c>
      <c r="D58" t="n">
        <v>4</v>
      </c>
      <c r="E58" t="n">
        <v>245</v>
      </c>
      <c r="F58">
        <f>E64*D64</f>
        <v/>
      </c>
      <c r="G58" t="n">
        <v>90</v>
      </c>
      <c r="H58" s="4" t="inlineStr">
        <is>
          <t>PAGADO</t>
        </is>
      </c>
      <c r="I58" t="inlineStr">
        <is>
          <t>Juan</t>
        </is>
      </c>
      <c r="J58" t="inlineStr">
        <is>
          <t>Amazon FBA</t>
        </is>
      </c>
      <c r="K58" t="inlineStr">
        <is>
          <t>VENTA</t>
        </is>
      </c>
    </row>
    <row r="59">
      <c r="A59" s="7" t="inlineStr">
        <is>
          <t>jun 20</t>
        </is>
      </c>
      <c r="B59" s="7" t="inlineStr">
        <is>
          <t>gasto delivery</t>
        </is>
      </c>
      <c r="C59" s="7" t="inlineStr">
        <is>
          <t>envios DHL junio</t>
        </is>
      </c>
      <c r="D59" s="7" t="n">
        <v>1</v>
      </c>
      <c r="E59" s="7" t="n">
        <v>380</v>
      </c>
      <c r="F59" s="7" t="n">
        <v>380</v>
      </c>
      <c r="G59" s="7" t="n"/>
      <c r="H59" s="4" t="inlineStr">
        <is>
          <t>pagado</t>
        </is>
      </c>
      <c r="I59" s="7" t="inlineStr"/>
      <c r="J59" s="7" t="inlineStr">
        <is>
          <t>cobrar al cliente?</t>
        </is>
      </c>
      <c r="K59" s="7" t="inlineStr">
        <is>
          <t>GASTO</t>
        </is>
      </c>
    </row>
    <row r="60">
      <c r="A60" t="inlineStr">
        <is>
          <t>28/06/2024</t>
        </is>
      </c>
      <c r="B60" t="inlineStr">
        <is>
          <t>Etsy varios</t>
        </is>
      </c>
      <c r="C60" t="inlineStr">
        <is>
          <t>chalinas colores</t>
        </is>
      </c>
      <c r="D60" t="n">
        <v>6</v>
      </c>
      <c r="E60" t="n">
        <v>185</v>
      </c>
      <c r="F60">
        <f>E66*D66</f>
        <v/>
      </c>
      <c r="G60" t="n">
        <v>68</v>
      </c>
      <c r="H60" s="4" t="inlineStr">
        <is>
          <t>PAGADO</t>
        </is>
      </c>
      <c r="I60" t="inlineStr">
        <is>
          <t>Juan</t>
        </is>
      </c>
      <c r="J60" t="inlineStr">
        <is>
          <t>temporada alta!!</t>
        </is>
      </c>
      <c r="K60" t="inlineStr">
        <is>
          <t>VENTA</t>
        </is>
      </c>
    </row>
    <row r="61"/>
    <row r="62">
      <c r="A62" t="inlineStr"/>
      <c r="B62">
        <f>== SEGUNDO SEMESTRE 2024 ===</f>
        <v/>
      </c>
      <c r="C62" t="inlineStr"/>
    </row>
    <row r="63"/>
    <row r="64">
      <c r="A64" t="inlineStr">
        <is>
          <t>5/07/2024</t>
        </is>
      </c>
      <c r="B64" t="inlineStr">
        <is>
          <t>Export Tokio</t>
        </is>
      </c>
      <c r="C64" t="inlineStr">
        <is>
          <t>Set alpaca lux</t>
        </is>
      </c>
      <c r="D64" t="n">
        <v>2</v>
      </c>
      <c r="E64" t="n">
        <v>920</v>
      </c>
      <c r="F64">
        <f>E70*D70</f>
        <v/>
      </c>
      <c r="G64" t="n">
        <v>339</v>
      </c>
      <c r="H64" s="4" t="inlineStr">
        <is>
          <t>PAGADO</t>
        </is>
      </c>
      <c r="I64" t="inlineStr">
        <is>
          <t>Juan</t>
        </is>
      </c>
      <c r="J64" t="inlineStr">
        <is>
          <t>nuevo mercado!!</t>
        </is>
      </c>
      <c r="K64" t="inlineStr">
        <is>
          <t>VENTA</t>
        </is>
      </c>
    </row>
    <row r="65">
      <c r="A65" t="inlineStr">
        <is>
          <t>jul 8</t>
        </is>
      </c>
      <c r="B65" t="inlineStr">
        <is>
          <t>feria artesanal lima</t>
        </is>
      </c>
      <c r="C65" t="inlineStr">
        <is>
          <t>varios tejidos</t>
        </is>
      </c>
      <c r="D65" t="n">
        <v>25</v>
      </c>
      <c r="E65" t="n">
        <v>65</v>
      </c>
      <c r="F65">
        <f>E71*D71</f>
        <v/>
      </c>
      <c r="H65" s="4" t="inlineStr">
        <is>
          <t>pagado</t>
        </is>
      </c>
      <c r="I65" t="inlineStr">
        <is>
          <t>Maria</t>
        </is>
      </c>
      <c r="J65" t="inlineStr">
        <is>
          <t>efectivo</t>
        </is>
      </c>
      <c r="K65" t="inlineStr">
        <is>
          <t>VENTA</t>
        </is>
      </c>
    </row>
    <row r="66">
      <c r="A66" s="6" t="inlineStr">
        <is>
          <t>10/07</t>
        </is>
      </c>
      <c r="B66" s="6" t="inlineStr">
        <is>
          <t>COMPRA tintes</t>
        </is>
      </c>
      <c r="C66" s="6" t="inlineStr">
        <is>
          <t>tintes naturales</t>
        </is>
      </c>
      <c r="D66" s="6" t="n">
        <v>1</v>
      </c>
      <c r="E66" s="6" t="n">
        <v>220</v>
      </c>
      <c r="F66" s="6" t="n">
        <v>220</v>
      </c>
      <c r="G66" s="6" t="n"/>
      <c r="H66" s="4" t="inlineStr">
        <is>
          <t>pagado</t>
        </is>
      </c>
      <c r="I66" s="6" t="inlineStr"/>
      <c r="J66" s="6" t="inlineStr">
        <is>
          <t>proveedor ayacucho</t>
        </is>
      </c>
      <c r="K66" s="6" t="inlineStr">
        <is>
          <t>COMPRA</t>
        </is>
      </c>
    </row>
    <row r="67">
      <c r="A67" t="inlineStr">
        <is>
          <t>15/7/2024</t>
        </is>
      </c>
      <c r="B67" t="inlineStr">
        <is>
          <t>boutique san isidro</t>
        </is>
      </c>
      <c r="C67" t="inlineStr">
        <is>
          <t>chalina vicuña</t>
        </is>
      </c>
      <c r="D67" t="n">
        <v>2</v>
      </c>
      <c r="E67" t="n">
        <v>620</v>
      </c>
      <c r="F67">
        <f>E73*D73</f>
        <v/>
      </c>
      <c r="H67" s="5" t="inlineStr">
        <is>
          <t>pendiente</t>
        </is>
      </c>
      <c r="I67" t="inlineStr">
        <is>
          <t>Maria</t>
        </is>
      </c>
      <c r="J67" t="inlineStr">
        <is>
          <t>esperando pago</t>
        </is>
      </c>
      <c r="K67" t="inlineStr">
        <is>
          <t>VENTA</t>
        </is>
      </c>
    </row>
    <row r="68">
      <c r="A68" t="inlineStr">
        <is>
          <t>20-jul</t>
        </is>
      </c>
      <c r="B68" t="inlineStr">
        <is>
          <t>Etsy USA</t>
        </is>
      </c>
      <c r="C68" t="inlineStr">
        <is>
          <t>gorros alpaca</t>
        </is>
      </c>
      <c r="D68" t="n">
        <v>8</v>
      </c>
      <c r="E68" t="n">
        <v>75</v>
      </c>
      <c r="F68">
        <f>E74*D74</f>
        <v/>
      </c>
      <c r="G68" t="n">
        <v>28</v>
      </c>
      <c r="H68" s="4" t="inlineStr">
        <is>
          <t>PAGADO</t>
        </is>
      </c>
      <c r="I68" t="inlineStr">
        <is>
          <t>Juan</t>
        </is>
      </c>
      <c r="J68" t="inlineStr"/>
      <c r="K68" t="inlineStr">
        <is>
          <t>venta</t>
        </is>
      </c>
    </row>
    <row r="69">
      <c r="A69" t="inlineStr">
        <is>
          <t>Ago 2</t>
        </is>
      </c>
      <c r="B69" t="inlineStr">
        <is>
          <t>Export Suecia</t>
        </is>
      </c>
      <c r="C69" t="inlineStr">
        <is>
          <t>Mantas nórdicas</t>
        </is>
      </c>
      <c r="D69" t="n">
        <v>4</v>
      </c>
      <c r="E69" t="n">
        <v>480</v>
      </c>
      <c r="F69">
        <f>E75*D75</f>
        <v/>
      </c>
      <c r="G69" t="n">
        <v>177</v>
      </c>
      <c r="H69" s="4" t="inlineStr">
        <is>
          <t>PAGADO</t>
        </is>
      </c>
      <c r="I69" t="inlineStr">
        <is>
          <t>Juan</t>
        </is>
      </c>
      <c r="J69" t="inlineStr">
        <is>
          <t>les encanto color</t>
        </is>
      </c>
      <c r="K69" t="inlineStr">
        <is>
          <t>VENTA</t>
        </is>
      </c>
    </row>
    <row r="70">
      <c r="A70" s="6" t="inlineStr">
        <is>
          <t>5/08/2024</t>
        </is>
      </c>
      <c r="B70" s="6" t="inlineStr">
        <is>
          <t>COMPRA FIBRA</t>
        </is>
      </c>
      <c r="C70" s="6" t="inlineStr">
        <is>
          <t>alpaca top A1</t>
        </is>
      </c>
      <c r="D70" s="6" t="n">
        <v>50</v>
      </c>
      <c r="E70" s="6" t="n">
        <v>37</v>
      </c>
      <c r="F70" s="6">
        <f>E76*D76</f>
        <v/>
      </c>
      <c r="G70" s="6" t="n"/>
      <c r="H70" s="4" t="inlineStr">
        <is>
          <t>pagado</t>
        </is>
      </c>
      <c r="I70" s="6" t="inlineStr"/>
      <c r="J70" s="6" t="inlineStr">
        <is>
          <t>negocio con Jorge</t>
        </is>
      </c>
      <c r="K70" s="6" t="inlineStr">
        <is>
          <t>COMPRA</t>
        </is>
      </c>
      <c r="M70" t="inlineStr">
        <is>
          <t>SUBIR PRECIOS 2025</t>
        </is>
      </c>
    </row>
    <row r="71">
      <c r="A71" t="inlineStr">
        <is>
          <t>ago 10</t>
        </is>
      </c>
      <c r="B71" t="inlineStr">
        <is>
          <t>tienda barranco</t>
        </is>
      </c>
      <c r="C71" t="inlineStr">
        <is>
          <t>tapiz mediano</t>
        </is>
      </c>
      <c r="D71" t="n">
        <v>3</v>
      </c>
      <c r="E71" t="n">
        <v>280</v>
      </c>
      <c r="F71">
        <f>E77*D77</f>
        <v/>
      </c>
      <c r="H71" s="4" t="inlineStr">
        <is>
          <t>pagado</t>
        </is>
      </c>
      <c r="I71" t="inlineStr">
        <is>
          <t>Maria</t>
        </is>
      </c>
      <c r="J71" t="inlineStr"/>
      <c r="K71" t="inlineStr">
        <is>
          <t>venta</t>
        </is>
      </c>
    </row>
    <row r="72">
      <c r="A72" t="inlineStr">
        <is>
          <t>12/08</t>
        </is>
      </c>
      <c r="B72" t="inlineStr">
        <is>
          <t>Sr Park Korea</t>
        </is>
      </c>
      <c r="C72" t="inlineStr">
        <is>
          <t>Chalinas x8</t>
        </is>
      </c>
      <c r="D72" t="n">
        <v>8</v>
      </c>
      <c r="E72" t="n">
        <v>195</v>
      </c>
      <c r="F72">
        <f>E78*D78</f>
        <v/>
      </c>
      <c r="G72" t="n">
        <v>72</v>
      </c>
      <c r="H72" s="4" t="inlineStr">
        <is>
          <t>PAGADO</t>
        </is>
      </c>
      <c r="I72" t="inlineStr">
        <is>
          <t>Juan</t>
        </is>
      </c>
      <c r="J72" t="inlineStr">
        <is>
          <t>korea interesada!</t>
        </is>
      </c>
      <c r="K72" t="inlineStr">
        <is>
          <t>VENTA</t>
        </is>
      </c>
    </row>
    <row r="73">
      <c r="A73" t="inlineStr">
        <is>
          <t>ago 20</t>
        </is>
      </c>
      <c r="B73" t="inlineStr">
        <is>
          <t>feria agosto</t>
        </is>
      </c>
      <c r="C73" t="inlineStr">
        <is>
          <t>varios</t>
        </is>
      </c>
      <c r="D73" t="n">
        <v>30</v>
      </c>
      <c r="E73" t="n">
        <v>55</v>
      </c>
      <c r="F73">
        <f>E79*D79</f>
        <v/>
      </c>
      <c r="H73" s="4" t="inlineStr">
        <is>
          <t>pagado</t>
        </is>
      </c>
      <c r="I73" t="inlineStr">
        <is>
          <t>Maria</t>
        </is>
      </c>
      <c r="J73" t="inlineStr">
        <is>
          <t>lluvia poca venta</t>
        </is>
      </c>
      <c r="K73" t="inlineStr">
        <is>
          <t>VENTA</t>
        </is>
      </c>
    </row>
    <row r="74">
      <c r="A74" t="inlineStr">
        <is>
          <t>SEPT 5</t>
        </is>
      </c>
      <c r="B74" t="inlineStr">
        <is>
          <t>Export Alemania</t>
        </is>
      </c>
      <c r="C74" t="inlineStr">
        <is>
          <t>Sweater vicuña fin</t>
        </is>
      </c>
      <c r="D74" t="n">
        <v>3</v>
      </c>
      <c r="E74" t="n">
        <v>820</v>
      </c>
      <c r="F74">
        <f>E80*D80</f>
        <v/>
      </c>
      <c r="G74" t="n">
        <v>302</v>
      </c>
      <c r="H74" s="4" t="inlineStr">
        <is>
          <t>PAGADO</t>
        </is>
      </c>
      <c r="I74" t="inlineStr">
        <is>
          <t>Juan</t>
        </is>
      </c>
      <c r="J74" t="inlineStr">
        <is>
          <t>talla XL problema</t>
        </is>
      </c>
      <c r="K74" t="inlineStr">
        <is>
          <t>VENTA</t>
        </is>
      </c>
    </row>
    <row r="75">
      <c r="A75" s="6" t="inlineStr">
        <is>
          <t>8/09/2024</t>
        </is>
      </c>
      <c r="B75" s="6" t="inlineStr">
        <is>
          <t>COMPRA telares</t>
        </is>
      </c>
      <c r="C75" s="6" t="inlineStr">
        <is>
          <t>telar nuevo</t>
        </is>
      </c>
      <c r="D75" s="6" t="n">
        <v>1</v>
      </c>
      <c r="E75" s="6" t="n">
        <v>1500</v>
      </c>
      <c r="F75" s="6" t="n">
        <v>1500</v>
      </c>
      <c r="G75" s="6" t="n"/>
      <c r="H75" s="4" t="inlineStr">
        <is>
          <t>pagado</t>
        </is>
      </c>
      <c r="I75" s="6" t="inlineStr"/>
      <c r="J75" s="6" t="inlineStr">
        <is>
          <t>inversion grande!!</t>
        </is>
      </c>
      <c r="K75" s="6" t="inlineStr">
        <is>
          <t>COMPRA</t>
        </is>
      </c>
    </row>
    <row r="76">
      <c r="A76" t="inlineStr">
        <is>
          <t>sep 12</t>
        </is>
      </c>
      <c r="B76" t="inlineStr">
        <is>
          <t>Online ig ventas</t>
        </is>
      </c>
      <c r="C76" t="inlineStr">
        <is>
          <t>chalinas varios</t>
        </is>
      </c>
      <c r="D76" t="n">
        <v>5</v>
      </c>
      <c r="E76" t="n">
        <v>170</v>
      </c>
      <c r="F76">
        <f>E82*D82</f>
        <v/>
      </c>
      <c r="H76" s="4" t="inlineStr">
        <is>
          <t>PAGADO</t>
        </is>
      </c>
      <c r="I76" t="inlineStr">
        <is>
          <t>Maria</t>
        </is>
      </c>
      <c r="J76" t="inlineStr">
        <is>
          <t>instagram funciona</t>
        </is>
      </c>
      <c r="K76" t="inlineStr">
        <is>
          <t>venta</t>
        </is>
      </c>
    </row>
    <row r="77">
      <c r="A77" t="inlineStr">
        <is>
          <t>15/09</t>
        </is>
      </c>
      <c r="B77" t="inlineStr">
        <is>
          <t>Export Canada</t>
        </is>
      </c>
      <c r="C77" t="inlineStr">
        <is>
          <t>poncho set</t>
        </is>
      </c>
      <c r="D77" t="n">
        <v>2</v>
      </c>
      <c r="E77" t="n">
        <v>560</v>
      </c>
      <c r="F77">
        <f>E83*D83</f>
        <v/>
      </c>
      <c r="G77" t="n">
        <v>206</v>
      </c>
      <c r="H77" s="4" t="inlineStr">
        <is>
          <t>PAGADO</t>
        </is>
      </c>
      <c r="I77" t="inlineStr">
        <is>
          <t>Juan</t>
        </is>
      </c>
      <c r="J77" t="inlineStr"/>
      <c r="K77" t="inlineStr">
        <is>
          <t>VENTA</t>
        </is>
      </c>
    </row>
    <row r="78">
      <c r="A78" t="inlineStr">
        <is>
          <t>20/9/2024</t>
        </is>
      </c>
      <c r="B78" t="inlineStr">
        <is>
          <t>Rosa Mamani</t>
        </is>
      </c>
      <c r="C78" t="inlineStr">
        <is>
          <t>pedido especial</t>
        </is>
      </c>
      <c r="D78" t="n">
        <v>15</v>
      </c>
      <c r="E78" t="n">
        <v>35</v>
      </c>
      <c r="F78">
        <f>E84*D84</f>
        <v/>
      </c>
      <c r="H78" s="4" t="inlineStr">
        <is>
          <t>pagado</t>
        </is>
      </c>
      <c r="I78" t="inlineStr">
        <is>
          <t>Maria</t>
        </is>
      </c>
      <c r="J78" t="inlineStr"/>
      <c r="K78" t="inlineStr">
        <is>
          <t>venta</t>
        </is>
      </c>
    </row>
    <row r="79">
      <c r="A79" t="inlineStr">
        <is>
          <t>OCT 3</t>
        </is>
      </c>
      <c r="B79" t="inlineStr">
        <is>
          <t>Nordstrom navidad</t>
        </is>
      </c>
      <c r="C79" t="inlineStr">
        <is>
          <t>Sweaters navidad x12</t>
        </is>
      </c>
      <c r="D79" t="n">
        <v>12</v>
      </c>
      <c r="E79" t="n">
        <v>235</v>
      </c>
      <c r="F79">
        <f>E85*D85</f>
        <v/>
      </c>
      <c r="G79" t="n">
        <v>86</v>
      </c>
      <c r="H79" s="4" t="inlineStr">
        <is>
          <t>PAGADO</t>
        </is>
      </c>
      <c r="I79" t="inlineStr">
        <is>
          <t>Juan</t>
        </is>
      </c>
      <c r="J79" t="inlineStr">
        <is>
          <t>pedido NAVIDAD!!</t>
        </is>
      </c>
      <c r="K79" t="inlineStr">
        <is>
          <t>VENTA</t>
        </is>
      </c>
    </row>
    <row r="80">
      <c r="A80" s="6" t="inlineStr">
        <is>
          <t>5/10/2024</t>
        </is>
      </c>
      <c r="B80" s="6" t="inlineStr">
        <is>
          <t>COMPRA lana</t>
        </is>
      </c>
      <c r="C80" s="6" t="inlineStr">
        <is>
          <t>merino fino</t>
        </is>
      </c>
      <c r="D80" s="6" t="n">
        <v>20</v>
      </c>
      <c r="E80" s="6" t="n">
        <v>44</v>
      </c>
      <c r="F80" s="6">
        <f>E86*D86</f>
        <v/>
      </c>
      <c r="G80" s="6" t="n"/>
      <c r="H80" s="4" t="inlineStr">
        <is>
          <t>pagado</t>
        </is>
      </c>
      <c r="I80" s="6" t="inlineStr"/>
      <c r="J80" s="6" t="inlineStr"/>
      <c r="K80" s="6" t="inlineStr">
        <is>
          <t>compra</t>
        </is>
      </c>
    </row>
    <row r="81">
      <c r="A81" t="inlineStr">
        <is>
          <t>oct 8</t>
        </is>
      </c>
      <c r="B81" t="inlineStr">
        <is>
          <t>Etsy UK cliente</t>
        </is>
      </c>
      <c r="C81" t="inlineStr">
        <is>
          <t>manta alpaca</t>
        </is>
      </c>
      <c r="D81" t="n">
        <v>1</v>
      </c>
      <c r="E81" t="n">
        <v>490</v>
      </c>
      <c r="F81">
        <f>E87*D87</f>
        <v/>
      </c>
      <c r="G81" t="n">
        <v>180</v>
      </c>
      <c r="H81" s="4" t="inlineStr">
        <is>
          <t>PAGADO</t>
        </is>
      </c>
      <c r="I81" t="inlineStr">
        <is>
          <t>Juan</t>
        </is>
      </c>
      <c r="J81" t="inlineStr">
        <is>
          <t>review 5 star</t>
        </is>
      </c>
      <c r="K81" t="inlineStr">
        <is>
          <t>VENTA</t>
        </is>
      </c>
    </row>
    <row r="82">
      <c r="A82" t="inlineStr">
        <is>
          <t>12/10</t>
        </is>
      </c>
      <c r="B82" t="inlineStr">
        <is>
          <t>local tienda</t>
        </is>
      </c>
      <c r="C82" t="inlineStr">
        <is>
          <t>varios</t>
        </is>
      </c>
      <c r="D82" t="n">
        <v>10</v>
      </c>
      <c r="E82" t="n">
        <v>80</v>
      </c>
      <c r="F82">
        <f>E88*D88</f>
        <v/>
      </c>
      <c r="H82" s="4" t="inlineStr">
        <is>
          <t>pagado</t>
        </is>
      </c>
      <c r="I82" t="inlineStr">
        <is>
          <t>Maria</t>
        </is>
      </c>
      <c r="J82" t="inlineStr"/>
      <c r="K82" t="inlineStr">
        <is>
          <t>venta</t>
        </is>
      </c>
    </row>
    <row r="83">
      <c r="A83" t="inlineStr">
        <is>
          <t>NOV 1</t>
        </is>
      </c>
      <c r="B83" t="inlineStr">
        <is>
          <t>Export EEUU Black Fr</t>
        </is>
      </c>
      <c r="C83" t="inlineStr">
        <is>
          <t>Chalinas x20 BF deal</t>
        </is>
      </c>
      <c r="D83" t="n">
        <v>20</v>
      </c>
      <c r="E83" t="n">
        <v>145</v>
      </c>
      <c r="F83">
        <f>E89*D89</f>
        <v/>
      </c>
      <c r="G83" t="n">
        <v>53</v>
      </c>
      <c r="H83" s="4" t="inlineStr">
        <is>
          <t>PAGADO</t>
        </is>
      </c>
      <c r="I83" t="inlineStr">
        <is>
          <t>Juan</t>
        </is>
      </c>
      <c r="J83" t="inlineStr">
        <is>
          <t>BLACK FRIDAY!!!</t>
        </is>
      </c>
      <c r="K83" t="inlineStr">
        <is>
          <t>VENTA</t>
        </is>
      </c>
    </row>
    <row r="84">
      <c r="A84" s="6" t="inlineStr">
        <is>
          <t>5/11/2024</t>
        </is>
      </c>
      <c r="B84" s="6" t="inlineStr">
        <is>
          <t>COMPRA FIBRA stock</t>
        </is>
      </c>
      <c r="C84" s="6" t="inlineStr">
        <is>
          <t>alpaca top A</t>
        </is>
      </c>
      <c r="D84" s="6" t="n">
        <v>60</v>
      </c>
      <c r="E84" s="6" t="n">
        <v>36</v>
      </c>
      <c r="F84" s="6">
        <f>E90*D90</f>
        <v/>
      </c>
      <c r="G84" s="6" t="n"/>
      <c r="H84" s="4" t="inlineStr">
        <is>
          <t>pagado</t>
        </is>
      </c>
      <c r="I84" s="6" t="inlineStr"/>
      <c r="J84" s="6" t="inlineStr">
        <is>
          <t>para navidad</t>
        </is>
      </c>
      <c r="K84" s="6" t="inlineStr">
        <is>
          <t>COMPRA</t>
        </is>
      </c>
    </row>
    <row r="85">
      <c r="A85" t="inlineStr">
        <is>
          <t>nov 10</t>
        </is>
      </c>
      <c r="B85" t="inlineStr">
        <is>
          <t>Etsy cyber monday</t>
        </is>
      </c>
      <c r="C85" t="inlineStr">
        <is>
          <t>varios sets</t>
        </is>
      </c>
      <c r="D85" t="n">
        <v>8</v>
      </c>
      <c r="E85" t="n">
        <v>220</v>
      </c>
      <c r="F85">
        <f>E91*D91</f>
        <v/>
      </c>
      <c r="G85" t="n">
        <v>81</v>
      </c>
      <c r="H85" s="4" t="inlineStr">
        <is>
          <t>PAGADO</t>
        </is>
      </c>
      <c r="I85" t="inlineStr">
        <is>
          <t>Juan</t>
        </is>
      </c>
      <c r="J85" t="inlineStr">
        <is>
          <t>cyber monday sale</t>
        </is>
      </c>
      <c r="K85" t="inlineStr">
        <is>
          <t>VENTA</t>
        </is>
      </c>
    </row>
    <row r="86">
      <c r="A86" t="inlineStr">
        <is>
          <t>15/11</t>
        </is>
      </c>
      <c r="B86" t="inlineStr">
        <is>
          <t>boutique providencia</t>
        </is>
      </c>
      <c r="C86" t="inlineStr">
        <is>
          <t>chalina vicuña</t>
        </is>
      </c>
      <c r="D86" t="n">
        <v>1</v>
      </c>
      <c r="E86" t="n">
        <v>680</v>
      </c>
      <c r="F86">
        <f>E92*D92</f>
        <v/>
      </c>
      <c r="H86" s="5" t="inlineStr">
        <is>
          <t>pendiente</t>
        </is>
      </c>
      <c r="I86" t="inlineStr">
        <is>
          <t>Maria</t>
        </is>
      </c>
      <c r="J86" t="inlineStr">
        <is>
          <t>no firma aun</t>
        </is>
      </c>
      <c r="K86" t="inlineStr">
        <is>
          <t>VENTA</t>
        </is>
      </c>
    </row>
    <row r="87">
      <c r="A87" t="inlineStr">
        <is>
          <t>DIC 1</t>
        </is>
      </c>
      <c r="B87" t="inlineStr">
        <is>
          <t>Export Japon Navidad</t>
        </is>
      </c>
      <c r="C87" t="inlineStr">
        <is>
          <t>Set regalo alpaca lux</t>
        </is>
      </c>
      <c r="D87" t="n">
        <v>5</v>
      </c>
      <c r="E87" t="n">
        <v>1100</v>
      </c>
      <c r="F87">
        <f>E93*D93</f>
        <v/>
      </c>
      <c r="G87" t="n">
        <v>405</v>
      </c>
      <c r="H87" s="4" t="inlineStr">
        <is>
          <t>PAGADO</t>
        </is>
      </c>
      <c r="I87" t="inlineStr">
        <is>
          <t>Juan</t>
        </is>
      </c>
      <c r="J87" t="inlineStr">
        <is>
          <t>MEJOR VENTA!!</t>
        </is>
      </c>
      <c r="K87" t="inlineStr">
        <is>
          <t>VENTA</t>
        </is>
      </c>
    </row>
    <row r="88">
      <c r="A88" t="inlineStr">
        <is>
          <t>3/12/2024</t>
        </is>
      </c>
      <c r="B88" t="inlineStr">
        <is>
          <t>Export Alemania nav</t>
        </is>
      </c>
      <c r="C88" t="inlineStr">
        <is>
          <t>Sweaters navidad</t>
        </is>
      </c>
      <c r="D88" t="n">
        <v>8</v>
      </c>
      <c r="E88" t="n">
        <v>265</v>
      </c>
      <c r="F88">
        <f>E94*D94</f>
        <v/>
      </c>
      <c r="G88" t="n">
        <v>97</v>
      </c>
      <c r="H88" s="4" t="inlineStr">
        <is>
          <t>PAGADO</t>
        </is>
      </c>
      <c r="I88" t="inlineStr">
        <is>
          <t>Juan</t>
        </is>
      </c>
      <c r="J88" t="inlineStr">
        <is>
          <t>repeat order</t>
        </is>
      </c>
      <c r="K88" t="inlineStr">
        <is>
          <t>VENTA</t>
        </is>
      </c>
    </row>
    <row r="89">
      <c r="A89" s="6" t="inlineStr">
        <is>
          <t>dic 5</t>
        </is>
      </c>
      <c r="B89" s="6" t="inlineStr">
        <is>
          <t>COMPRA embalaje</t>
        </is>
      </c>
      <c r="C89" s="6" t="inlineStr">
        <is>
          <t>cajas premium navidad</t>
        </is>
      </c>
      <c r="D89" s="6" t="n">
        <v>50</v>
      </c>
      <c r="E89" s="6" t="n">
        <v>8.5</v>
      </c>
      <c r="F89" s="6">
        <f>E95*D95</f>
        <v/>
      </c>
      <c r="G89" s="6" t="n"/>
      <c r="H89" s="4" t="inlineStr">
        <is>
          <t>pagado</t>
        </is>
      </c>
      <c r="I89" s="6" t="inlineStr"/>
      <c r="J89" s="6" t="inlineStr"/>
      <c r="K89" s="6" t="inlineStr">
        <is>
          <t>compra</t>
        </is>
      </c>
    </row>
    <row r="90">
      <c r="A90" t="inlineStr">
        <is>
          <t>10/12/2024</t>
        </is>
      </c>
      <c r="B90" t="inlineStr">
        <is>
          <t>feria navidad lima</t>
        </is>
      </c>
      <c r="C90" t="inlineStr">
        <is>
          <t>varios tejidos</t>
        </is>
      </c>
      <c r="D90" t="n">
        <v>40</v>
      </c>
      <c r="E90" t="n">
        <v>75</v>
      </c>
      <c r="F90">
        <f>E96*D96</f>
        <v/>
      </c>
      <c r="H90" s="4" t="inlineStr">
        <is>
          <t>pagado</t>
        </is>
      </c>
      <c r="I90" t="inlineStr">
        <is>
          <t>Maria</t>
        </is>
      </c>
      <c r="J90" t="inlineStr">
        <is>
          <t>FERIA NAVIDAD</t>
        </is>
      </c>
      <c r="K90" t="inlineStr">
        <is>
          <t>VENTA</t>
        </is>
      </c>
    </row>
    <row r="91">
      <c r="A91" t="inlineStr">
        <is>
          <t>dic 15</t>
        </is>
      </c>
      <c r="B91" t="inlineStr">
        <is>
          <t>Export Canada nav</t>
        </is>
      </c>
      <c r="C91" t="inlineStr">
        <is>
          <t>mantas alpaca</t>
        </is>
      </c>
      <c r="D91" t="n">
        <v>6</v>
      </c>
      <c r="E91" t="n">
        <v>495</v>
      </c>
      <c r="F91">
        <f>E97*D97</f>
        <v/>
      </c>
      <c r="G91" t="n">
        <v>182</v>
      </c>
      <c r="H91" s="4" t="inlineStr">
        <is>
          <t>PAGADO</t>
        </is>
      </c>
      <c r="I91" t="inlineStr">
        <is>
          <t>Juan</t>
        </is>
      </c>
      <c r="J91" t="inlineStr"/>
      <c r="K91" t="inlineStr">
        <is>
          <t>VENTA</t>
        </is>
      </c>
    </row>
    <row r="92">
      <c r="A92" t="inlineStr">
        <is>
          <t>20/12</t>
        </is>
      </c>
      <c r="B92" t="inlineStr">
        <is>
          <t>cliente local navidad</t>
        </is>
      </c>
      <c r="C92" t="inlineStr">
        <is>
          <t>varios regalos</t>
        </is>
      </c>
      <c r="D92" t="n">
        <v>20</v>
      </c>
      <c r="E92" t="n">
        <v>90</v>
      </c>
      <c r="F92">
        <f>E98*D98</f>
        <v/>
      </c>
      <c r="H92" s="4" t="inlineStr">
        <is>
          <t>pagado</t>
        </is>
      </c>
      <c r="I92" t="inlineStr">
        <is>
          <t>Maria</t>
        </is>
      </c>
      <c r="J92" t="inlineStr">
        <is>
          <t>efectivo caja</t>
        </is>
      </c>
      <c r="K92" t="inlineStr">
        <is>
          <t>venta</t>
        </is>
      </c>
    </row>
    <row r="93">
      <c r="A93" s="7" t="inlineStr">
        <is>
          <t>diciembre</t>
        </is>
      </c>
      <c r="B93" s="7" t="inlineStr">
        <is>
          <t>gasto sueldos dic</t>
        </is>
      </c>
      <c r="C93" s="7" t="inlineStr">
        <is>
          <t>SUELDOS DICIEMBRE</t>
        </is>
      </c>
      <c r="D93" s="7" t="n">
        <v>2</v>
      </c>
      <c r="E93" s="7" t="n">
        <v>950</v>
      </c>
      <c r="F93" s="7">
        <f>E99*D99</f>
        <v/>
      </c>
      <c r="G93" s="7" t="n"/>
      <c r="H93" s="4" t="inlineStr">
        <is>
          <t>pagado</t>
        </is>
      </c>
      <c r="I93" s="7" t="inlineStr"/>
      <c r="J93" s="7" t="inlineStr">
        <is>
          <t>aguinaldo incluido</t>
        </is>
      </c>
      <c r="K93" s="7" t="inlineStr">
        <is>
          <t>GASTO</t>
        </is>
      </c>
    </row>
    <row r="94">
      <c r="A94" t="inlineStr">
        <is>
          <t>31/12/2024</t>
        </is>
      </c>
      <c r="B94" t="inlineStr">
        <is>
          <t>TOTAL ANUAL 2024</t>
        </is>
      </c>
      <c r="C94" t="inlineStr">
        <is>
          <t>VER HOJA RESUMEN</t>
        </is>
      </c>
      <c r="F94">
        <f>SUM(F5:F99)</f>
        <v/>
      </c>
      <c r="J94" t="inlineStr">
        <is>
          <t>VERIFICAR!!</t>
        </is>
      </c>
    </row>
    <row r="95"/>
    <row r="96">
      <c r="A96" t="inlineStr"/>
      <c r="B96">
        <f>====== 2025 =======</f>
        <v/>
      </c>
      <c r="C96" t="inlineStr"/>
    </row>
    <row r="97"/>
    <row r="98">
      <c r="A98" t="inlineStr">
        <is>
          <t>3/01/2025</t>
        </is>
      </c>
      <c r="B98" t="inlineStr">
        <is>
          <t>Export Japon Año Nuevo</t>
        </is>
      </c>
      <c r="C98" t="inlineStr">
        <is>
          <t>Set alpaca año nuevo</t>
        </is>
      </c>
      <c r="D98" t="n">
        <v>3</v>
      </c>
      <c r="E98" t="n">
        <v>980</v>
      </c>
      <c r="F98">
        <f>E103*D103</f>
        <v/>
      </c>
      <c r="G98" t="n">
        <v>361</v>
      </c>
      <c r="H98" s="4" t="inlineStr">
        <is>
          <t>PAGADO</t>
        </is>
      </c>
      <c r="I98" t="inlineStr">
        <is>
          <t>Juan</t>
        </is>
      </c>
      <c r="J98" t="inlineStr">
        <is>
          <t>cliente fijo</t>
        </is>
      </c>
      <c r="K98" t="inlineStr">
        <is>
          <t>VENTA</t>
        </is>
      </c>
    </row>
    <row r="99">
      <c r="A99" t="inlineStr">
        <is>
          <t>ene 5</t>
        </is>
      </c>
      <c r="B99" t="inlineStr">
        <is>
          <t>Etsy USA inicio año</t>
        </is>
      </c>
      <c r="C99" t="inlineStr">
        <is>
          <t>chalinas x4</t>
        </is>
      </c>
      <c r="D99" t="n">
        <v>4</v>
      </c>
      <c r="E99" t="n">
        <v>195</v>
      </c>
      <c r="F99">
        <f>E104*D104</f>
        <v/>
      </c>
      <c r="G99" t="n">
        <v>72</v>
      </c>
      <c r="H99" s="4" t="inlineStr">
        <is>
          <t>PAGADO</t>
        </is>
      </c>
      <c r="I99" t="inlineStr">
        <is>
          <t>Juan</t>
        </is>
      </c>
      <c r="J99" t="inlineStr"/>
      <c r="K99" t="inlineStr">
        <is>
          <t>venta</t>
        </is>
      </c>
    </row>
    <row r="100">
      <c r="A100" s="8" t="inlineStr">
        <is>
          <t>8/01/2025</t>
        </is>
      </c>
      <c r="B100" s="8" t="inlineStr">
        <is>
          <t>COMPRA FIBRA 2025</t>
        </is>
      </c>
      <c r="C100" s="8" t="inlineStr">
        <is>
          <t>alpaca top stock año</t>
        </is>
      </c>
      <c r="D100" s="8" t="n">
        <v>80</v>
      </c>
      <c r="E100" s="8" t="n">
        <v>38</v>
      </c>
      <c r="F100" s="8">
        <f>E105*D105</f>
        <v/>
      </c>
      <c r="G100" s="8" t="n"/>
      <c r="H100" s="8" t="inlineStr">
        <is>
          <t>pagado</t>
        </is>
      </c>
      <c r="I100" s="8" t="inlineStr"/>
      <c r="J100" s="8" t="inlineStr">
        <is>
          <t>stock para todo año</t>
        </is>
      </c>
      <c r="K100" s="8" t="inlineStr">
        <is>
          <t>COMPRA</t>
        </is>
      </c>
    </row>
    <row r="101">
      <c r="A101" t="inlineStr">
        <is>
          <t>ene 12</t>
        </is>
      </c>
      <c r="B101" t="inlineStr">
        <is>
          <t>boutique nuevo local</t>
        </is>
      </c>
      <c r="C101" t="inlineStr">
        <is>
          <t>chalina vicuña</t>
        </is>
      </c>
      <c r="D101" t="n">
        <v>2</v>
      </c>
      <c r="E101" t="n">
        <v>720</v>
      </c>
      <c r="F101">
        <f>E106*D106</f>
        <v/>
      </c>
      <c r="H101" s="5" t="inlineStr">
        <is>
          <t>pendiente</t>
        </is>
      </c>
      <c r="I101" t="inlineStr">
        <is>
          <t>Maria</t>
        </is>
      </c>
      <c r="J101" t="inlineStr">
        <is>
          <t>nueva tienda!!</t>
        </is>
      </c>
      <c r="K101" t="inlineStr">
        <is>
          <t>VENTA</t>
        </is>
      </c>
    </row>
    <row r="102">
      <c r="A102" t="inlineStr">
        <is>
          <t>15/01/2025</t>
        </is>
      </c>
      <c r="B102" t="inlineStr">
        <is>
          <t>Nordstrom pedido inv</t>
        </is>
      </c>
      <c r="C102" t="inlineStr">
        <is>
          <t>Sweaters invierno x15</t>
        </is>
      </c>
      <c r="D102" t="n">
        <v>15</v>
      </c>
      <c r="E102" t="n">
        <v>250</v>
      </c>
      <c r="F102">
        <f>E107*D107</f>
        <v/>
      </c>
      <c r="G102" t="n">
        <v>92</v>
      </c>
      <c r="H102" s="4" t="inlineStr">
        <is>
          <t>PAGADO</t>
        </is>
      </c>
      <c r="I102" t="inlineStr">
        <is>
          <t>Juan</t>
        </is>
      </c>
      <c r="J102" t="inlineStr">
        <is>
          <t>temporada invierno</t>
        </is>
      </c>
      <c r="K102" t="inlineStr">
        <is>
          <t>VENTA</t>
        </is>
      </c>
    </row>
    <row r="103">
      <c r="A103" t="inlineStr">
        <is>
          <t>20/1</t>
        </is>
      </c>
      <c r="B103" t="inlineStr">
        <is>
          <t>feria enero</t>
        </is>
      </c>
      <c r="C103" t="inlineStr">
        <is>
          <t>varios</t>
        </is>
      </c>
      <c r="D103" t="n">
        <v>18</v>
      </c>
      <c r="E103" t="n">
        <v>70</v>
      </c>
      <c r="F103">
        <f>E108*D108</f>
        <v/>
      </c>
      <c r="H103" s="4" t="inlineStr">
        <is>
          <t>pagado</t>
        </is>
      </c>
      <c r="I103" t="inlineStr">
        <is>
          <t>Maria</t>
        </is>
      </c>
      <c r="J103" t="inlineStr"/>
      <c r="K103" t="inlineStr">
        <is>
          <t>venta</t>
        </is>
      </c>
    </row>
    <row r="104">
      <c r="A104" t="inlineStr">
        <is>
          <t>FEB 3</t>
        </is>
      </c>
      <c r="B104" t="inlineStr">
        <is>
          <t>export noruega</t>
        </is>
      </c>
      <c r="C104" t="inlineStr">
        <is>
          <t>mantas nórd x5</t>
        </is>
      </c>
      <c r="D104" t="n">
        <v>5</v>
      </c>
      <c r="E104" t="n">
        <v>510</v>
      </c>
      <c r="F104">
        <f>E109*D109</f>
        <v/>
      </c>
      <c r="G104" t="n">
        <v>188</v>
      </c>
      <c r="H104" s="4" t="inlineStr">
        <is>
          <t>PAGADO</t>
        </is>
      </c>
      <c r="I104" t="inlineStr">
        <is>
          <t>Juan</t>
        </is>
      </c>
      <c r="J104" t="inlineStr">
        <is>
          <t>frio extremo norte</t>
        </is>
      </c>
      <c r="K104" t="inlineStr">
        <is>
          <t>VENTA</t>
        </is>
      </c>
    </row>
    <row r="105">
      <c r="A105" s="7" t="inlineStr">
        <is>
          <t>5/02/2025</t>
        </is>
      </c>
      <c r="B105" s="7" t="inlineStr">
        <is>
          <t>COMPRA taller</t>
        </is>
      </c>
      <c r="C105" s="7" t="inlineStr">
        <is>
          <t>mantenimiento telares</t>
        </is>
      </c>
      <c r="D105" s="7" t="n">
        <v>1</v>
      </c>
      <c r="E105" s="7" t="n">
        <v>350</v>
      </c>
      <c r="F105" s="7" t="n">
        <v>350</v>
      </c>
      <c r="G105" s="7" t="n"/>
      <c r="H105" s="4" t="inlineStr">
        <is>
          <t>pagado</t>
        </is>
      </c>
      <c r="I105" s="7" t="inlineStr"/>
      <c r="J105" s="7" t="inlineStr">
        <is>
          <t>técnico vino</t>
        </is>
      </c>
      <c r="K105" s="7" t="inlineStr">
        <is>
          <t>GASTO</t>
        </is>
      </c>
    </row>
    <row r="106">
      <c r="A106" t="inlineStr">
        <is>
          <t>feb 10</t>
        </is>
      </c>
      <c r="B106" t="inlineStr">
        <is>
          <t>Etsy varios</t>
        </is>
      </c>
      <c r="C106" t="inlineStr">
        <is>
          <t>gorros alpaca colores</t>
        </is>
      </c>
      <c r="D106" t="n">
        <v>12</v>
      </c>
      <c r="E106" t="n">
        <v>68</v>
      </c>
      <c r="F106">
        <f>E111*D111</f>
        <v/>
      </c>
      <c r="G106" t="n">
        <v>25</v>
      </c>
      <c r="H106" s="4" t="inlineStr">
        <is>
          <t>PAGADO</t>
        </is>
      </c>
      <c r="I106" t="inlineStr">
        <is>
          <t>Juan</t>
        </is>
      </c>
      <c r="J106" t="inlineStr">
        <is>
          <t>temporada fría</t>
        </is>
      </c>
      <c r="K106" t="inlineStr">
        <is>
          <t>VENTA</t>
        </is>
      </c>
    </row>
    <row r="107">
      <c r="A107" t="inlineStr">
        <is>
          <t>12/02</t>
        </is>
      </c>
      <c r="B107" t="inlineStr">
        <is>
          <t>Rosa Mamani</t>
        </is>
      </c>
      <c r="C107" t="inlineStr">
        <is>
          <t>pedido gorros</t>
        </is>
      </c>
      <c r="D107" t="n">
        <v>24</v>
      </c>
      <c r="E107" t="n">
        <v>30</v>
      </c>
      <c r="F107">
        <f>E112*D112</f>
        <v/>
      </c>
      <c r="H107" s="4" t="inlineStr">
        <is>
          <t>pagado</t>
        </is>
      </c>
      <c r="I107" t="inlineStr">
        <is>
          <t>Maria</t>
        </is>
      </c>
      <c r="J107" t="inlineStr">
        <is>
          <t>cliente mayorista</t>
        </is>
      </c>
      <c r="K107" t="inlineStr">
        <is>
          <t>venta</t>
        </is>
      </c>
    </row>
    <row r="108">
      <c r="A108" t="inlineStr">
        <is>
          <t>san valentin</t>
        </is>
      </c>
      <c r="B108" t="inlineStr">
        <is>
          <t>boutique regalo</t>
        </is>
      </c>
      <c r="C108" t="inlineStr">
        <is>
          <t>set alpaca amor</t>
        </is>
      </c>
      <c r="D108" t="n">
        <v>10</v>
      </c>
      <c r="E108" t="n">
        <v>195</v>
      </c>
      <c r="F108">
        <f>E113*D113</f>
        <v/>
      </c>
      <c r="H108" s="4" t="inlineStr">
        <is>
          <t>PAGADO</t>
        </is>
      </c>
      <c r="I108" t="inlineStr">
        <is>
          <t>Maria</t>
        </is>
      </c>
      <c r="J108" t="inlineStr">
        <is>
          <t>san valentin venta</t>
        </is>
      </c>
      <c r="K108" t="inlineStr">
        <is>
          <t>VENTA</t>
        </is>
      </c>
    </row>
    <row r="109">
      <c r="A109" t="inlineStr">
        <is>
          <t>MAR 2025</t>
        </is>
      </c>
      <c r="B109" t="inlineStr">
        <is>
          <t>Export Alemania</t>
        </is>
      </c>
      <c r="C109" t="inlineStr">
        <is>
          <t>Sweater vicuña lux</t>
        </is>
      </c>
      <c r="D109" t="n">
        <v>4</v>
      </c>
      <c r="E109" t="n">
        <v>850</v>
      </c>
      <c r="F109">
        <f>E114*D114</f>
        <v/>
      </c>
      <c r="G109" t="n">
        <v>313</v>
      </c>
      <c r="H109" s="4" t="inlineStr">
        <is>
          <t>PAGADO</t>
        </is>
      </c>
      <c r="I109" t="inlineStr">
        <is>
          <t>Juan</t>
        </is>
      </c>
      <c r="J109" t="inlineStr">
        <is>
          <t>precio subio bien</t>
        </is>
      </c>
      <c r="K109" t="inlineStr">
        <is>
          <t>VENTA</t>
        </is>
      </c>
    </row>
    <row r="110">
      <c r="A110" s="6" t="inlineStr">
        <is>
          <t>5/03/2025</t>
        </is>
      </c>
      <c r="B110" s="6" t="inlineStr">
        <is>
          <t>COMPRA FIBRA</t>
        </is>
      </c>
      <c r="C110" s="6" t="inlineStr">
        <is>
          <t>vicuña fibra fina</t>
        </is>
      </c>
      <c r="D110" s="6" t="n">
        <v>8</v>
      </c>
      <c r="E110" s="6" t="n">
        <v>900</v>
      </c>
      <c r="F110" s="6">
        <f>E115*D115</f>
        <v/>
      </c>
      <c r="G110" s="6" t="n"/>
      <c r="H110" s="4" t="inlineStr">
        <is>
          <t>pagado</t>
        </is>
      </c>
      <c r="I110" s="6" t="inlineStr"/>
      <c r="J110" s="6" t="inlineStr">
        <is>
          <t>precio alto pero vale</t>
        </is>
      </c>
      <c r="K110" s="6" t="inlineStr">
        <is>
          <t>COMPRA</t>
        </is>
      </c>
    </row>
    <row r="111">
      <c r="A111" t="inlineStr">
        <is>
          <t>mar 10</t>
        </is>
      </c>
      <c r="B111" t="inlineStr">
        <is>
          <t>local galeria</t>
        </is>
      </c>
      <c r="C111" t="inlineStr">
        <is>
          <t>tapices andinos</t>
        </is>
      </c>
      <c r="D111" t="n">
        <v>5</v>
      </c>
      <c r="E111" t="n">
        <v>320</v>
      </c>
      <c r="F111">
        <f>E116*D116</f>
        <v/>
      </c>
      <c r="H111" s="4" t="inlineStr">
        <is>
          <t>pagado</t>
        </is>
      </c>
      <c r="I111" t="inlineStr">
        <is>
          <t>Maria</t>
        </is>
      </c>
      <c r="J111" t="inlineStr"/>
      <c r="K111" t="inlineStr">
        <is>
          <t>venta</t>
        </is>
      </c>
    </row>
    <row r="112">
      <c r="A112" t="inlineStr">
        <is>
          <t>15/03/2025</t>
        </is>
      </c>
      <c r="B112" t="inlineStr">
        <is>
          <t>Etsy UK</t>
        </is>
      </c>
      <c r="C112" t="inlineStr">
        <is>
          <t>poncho alpaca</t>
        </is>
      </c>
      <c r="D112" t="n">
        <v>2</v>
      </c>
      <c r="E112" t="n">
        <v>430</v>
      </c>
      <c r="F112">
        <f>E117*D117</f>
        <v/>
      </c>
      <c r="G112" t="n">
        <v>158</v>
      </c>
      <c r="H112" s="4" t="inlineStr">
        <is>
          <t>PAGADO</t>
        </is>
      </c>
      <c r="I112" t="inlineStr">
        <is>
          <t>Juan</t>
        </is>
      </c>
      <c r="J112" t="inlineStr"/>
      <c r="K112" t="inlineStr">
        <is>
          <t>VENTA</t>
        </is>
      </c>
    </row>
    <row r="113">
      <c r="A113" t="inlineStr">
        <is>
          <t>ABR 2025</t>
        </is>
      </c>
      <c r="B113" t="inlineStr">
        <is>
          <t>Export Canada spring</t>
        </is>
      </c>
      <c r="C113" t="inlineStr">
        <is>
          <t>chalinas primavera</t>
        </is>
      </c>
      <c r="D113" t="n">
        <v>10</v>
      </c>
      <c r="E113" t="n">
        <v>210</v>
      </c>
      <c r="F113">
        <f>E118*D118</f>
        <v/>
      </c>
      <c r="G113" t="n">
        <v>77</v>
      </c>
      <c r="H113" s="4" t="inlineStr">
        <is>
          <t>PAGADO</t>
        </is>
      </c>
      <c r="I113" t="inlineStr">
        <is>
          <t>Juan</t>
        </is>
      </c>
      <c r="J113" t="inlineStr">
        <is>
          <t>nueva temporada</t>
        </is>
      </c>
      <c r="K113" t="inlineStr">
        <is>
          <t>VENTA</t>
        </is>
      </c>
    </row>
    <row r="114">
      <c r="A114" s="6" t="inlineStr">
        <is>
          <t>3/04/2025</t>
        </is>
      </c>
      <c r="B114" s="6" t="inlineStr">
        <is>
          <t>COMPRA lana alpaca</t>
        </is>
      </c>
      <c r="C114" s="6" t="inlineStr">
        <is>
          <t>fibra mezcla</t>
        </is>
      </c>
      <c r="D114" s="6" t="n">
        <v>30</v>
      </c>
      <c r="E114" s="6" t="n">
        <v>40</v>
      </c>
      <c r="F114" s="6">
        <f>E119*D119</f>
        <v/>
      </c>
      <c r="G114" s="6" t="n"/>
      <c r="H114" s="4" t="inlineStr">
        <is>
          <t>pagado</t>
        </is>
      </c>
      <c r="I114" s="6" t="inlineStr"/>
      <c r="J114" s="6" t="inlineStr"/>
      <c r="K114" s="6" t="inlineStr">
        <is>
          <t>compra</t>
        </is>
      </c>
    </row>
    <row r="115">
      <c r="A115" t="inlineStr">
        <is>
          <t>abr 8</t>
        </is>
      </c>
      <c r="B115" t="inlineStr">
        <is>
          <t>feria artesanal</t>
        </is>
      </c>
      <c r="C115" t="inlineStr">
        <is>
          <t>varios</t>
        </is>
      </c>
      <c r="D115" t="n">
        <v>22</v>
      </c>
      <c r="E115" t="n">
        <v>85</v>
      </c>
      <c r="F115">
        <f>E120*D120</f>
        <v/>
      </c>
      <c r="H115" s="4" t="inlineStr">
        <is>
          <t>pagado</t>
        </is>
      </c>
      <c r="I115" t="inlineStr">
        <is>
          <t>Maria</t>
        </is>
      </c>
      <c r="J115" t="inlineStr">
        <is>
          <t>buena temporada</t>
        </is>
      </c>
      <c r="K115" t="inlineStr">
        <is>
          <t>venta</t>
        </is>
      </c>
    </row>
    <row r="116">
      <c r="A116" t="inlineStr">
        <is>
          <t>10/04/2025</t>
        </is>
      </c>
      <c r="B116" t="inlineStr">
        <is>
          <t>boutique miraflores</t>
        </is>
      </c>
      <c r="C116" t="inlineStr">
        <is>
          <t>chalina vicuña 2u</t>
        </is>
      </c>
      <c r="D116" t="n">
        <v>2</v>
      </c>
      <c r="E116" t="n">
        <v>720</v>
      </c>
      <c r="F116">
        <f>E121*D121</f>
        <v/>
      </c>
      <c r="H116" s="5" t="inlineStr">
        <is>
          <t>pendiente</t>
        </is>
      </c>
      <c r="I116" t="inlineStr">
        <is>
          <t>Maria</t>
        </is>
      </c>
      <c r="J116" t="inlineStr">
        <is>
          <t>esperando!!!</t>
        </is>
      </c>
      <c r="K116" t="inlineStr">
        <is>
          <t>VENTA</t>
        </is>
      </c>
    </row>
    <row r="117">
      <c r="A117" t="inlineStr">
        <is>
          <t>MAYO 2025</t>
        </is>
      </c>
      <c r="B117" t="inlineStr">
        <is>
          <t>Export Suecia verano</t>
        </is>
      </c>
      <c r="C117" t="inlineStr">
        <is>
          <t>mantas alpaca ligh</t>
        </is>
      </c>
      <c r="D117" t="n">
        <v>6</v>
      </c>
      <c r="E117" t="n">
        <v>420</v>
      </c>
      <c r="F117">
        <f>E122*D122</f>
        <v/>
      </c>
      <c r="G117" t="n">
        <v>155</v>
      </c>
      <c r="H117" s="4" t="inlineStr">
        <is>
          <t>PAGADO</t>
        </is>
      </c>
      <c r="I117" t="inlineStr">
        <is>
          <t>Juan</t>
        </is>
      </c>
      <c r="J117" t="inlineStr"/>
      <c r="K117" t="inlineStr">
        <is>
          <t>VENTA</t>
        </is>
      </c>
    </row>
    <row r="118">
      <c r="A118" t="inlineStr">
        <is>
          <t>5/05/2025</t>
        </is>
      </c>
      <c r="B118" t="inlineStr">
        <is>
          <t>Etsy USA madre</t>
        </is>
      </c>
      <c r="C118" t="inlineStr">
        <is>
          <t>set regalo mama</t>
        </is>
      </c>
      <c r="D118" t="n">
        <v>5</v>
      </c>
      <c r="E118" t="n">
        <v>280</v>
      </c>
      <c r="F118">
        <f>E123*D123</f>
        <v/>
      </c>
      <c r="G118" t="n">
        <v>103</v>
      </c>
      <c r="H118" s="4" t="inlineStr">
        <is>
          <t>PAGADO</t>
        </is>
      </c>
      <c r="I118" t="inlineStr">
        <is>
          <t>Juan</t>
        </is>
      </c>
      <c r="J118" t="inlineStr">
        <is>
          <t>dia de la madre!!</t>
        </is>
      </c>
      <c r="K118" t="inlineStr">
        <is>
          <t>VENTA</t>
        </is>
      </c>
    </row>
    <row r="119">
      <c r="A119" s="6" t="inlineStr">
        <is>
          <t>mayo 12</t>
        </is>
      </c>
      <c r="B119" s="6" t="inlineStr">
        <is>
          <t>COMPRA embalaje</t>
        </is>
      </c>
      <c r="C119" s="6" t="inlineStr">
        <is>
          <t>bolsas premium</t>
        </is>
      </c>
      <c r="D119" s="6" t="n">
        <v>100</v>
      </c>
      <c r="E119" s="6" t="n">
        <v>2.5</v>
      </c>
      <c r="F119" s="6">
        <f>E124*D124</f>
        <v/>
      </c>
      <c r="G119" s="6" t="n"/>
      <c r="H119" s="4" t="inlineStr">
        <is>
          <t>pagado</t>
        </is>
      </c>
      <c r="I119" s="6" t="inlineStr"/>
      <c r="J119" s="6" t="inlineStr"/>
      <c r="K119" s="6" t="inlineStr">
        <is>
          <t>compra</t>
        </is>
      </c>
    </row>
    <row r="120">
      <c r="A120" t="inlineStr">
        <is>
          <t>15/05/2025</t>
        </is>
      </c>
      <c r="B120" t="inlineStr">
        <is>
          <t>local cusco</t>
        </is>
      </c>
      <c r="C120" t="inlineStr">
        <is>
          <t>varios tejidos</t>
        </is>
      </c>
      <c r="D120" t="n">
        <v>15</v>
      </c>
      <c r="E120" t="n">
        <v>95</v>
      </c>
      <c r="F120">
        <f>E125*D125</f>
        <v/>
      </c>
      <c r="H120" s="4" t="inlineStr">
        <is>
          <t>pagado</t>
        </is>
      </c>
      <c r="I120" t="inlineStr">
        <is>
          <t>Maria</t>
        </is>
      </c>
      <c r="J120" t="inlineStr"/>
      <c r="K120" t="inlineStr">
        <is>
          <t>venta</t>
        </is>
      </c>
    </row>
    <row r="121">
      <c r="A121" t="inlineStr">
        <is>
          <t>JUN 2025</t>
        </is>
      </c>
      <c r="B121" t="inlineStr">
        <is>
          <t>Export Milan</t>
        </is>
      </c>
      <c r="C121" t="inlineStr">
        <is>
          <t>Chalinas moda x8</t>
        </is>
      </c>
      <c r="D121" t="n">
        <v>8</v>
      </c>
      <c r="E121" t="n">
        <v>420</v>
      </c>
      <c r="F121">
        <f>E126*D126</f>
        <v/>
      </c>
      <c r="G121" t="n">
        <v>155</v>
      </c>
      <c r="H121" s="4" t="inlineStr">
        <is>
          <t>PAGADO</t>
        </is>
      </c>
      <c r="I121" t="inlineStr">
        <is>
          <t>Juan</t>
        </is>
      </c>
      <c r="J121" t="inlineStr">
        <is>
          <t>moda milan!!</t>
        </is>
      </c>
      <c r="K121" t="inlineStr">
        <is>
          <t>VENTA</t>
        </is>
      </c>
    </row>
    <row r="122">
      <c r="A122" t="inlineStr">
        <is>
          <t>5/06/2025</t>
        </is>
      </c>
      <c r="B122" t="inlineStr">
        <is>
          <t>Etsy varios</t>
        </is>
      </c>
      <c r="C122" t="inlineStr">
        <is>
          <t>gorros verano</t>
        </is>
      </c>
      <c r="D122" t="n">
        <v>10</v>
      </c>
      <c r="E122" t="n">
        <v>55</v>
      </c>
      <c r="F122">
        <f>E127*D127</f>
        <v/>
      </c>
      <c r="G122" t="n">
        <v>20</v>
      </c>
      <c r="H122" s="4" t="inlineStr">
        <is>
          <t>PAGADO</t>
        </is>
      </c>
      <c r="I122" t="inlineStr">
        <is>
          <t>Juan</t>
        </is>
      </c>
      <c r="J122" t="inlineStr"/>
      <c r="K122" t="inlineStr">
        <is>
          <t>venta</t>
        </is>
      </c>
    </row>
    <row r="123">
      <c r="A123" s="6" t="inlineStr">
        <is>
          <t>jun 10</t>
        </is>
      </c>
      <c r="B123" s="6" t="inlineStr">
        <is>
          <t>COMPRA fibra 2do sem</t>
        </is>
      </c>
      <c r="C123" s="6" t="inlineStr">
        <is>
          <t>alpaca top A stock</t>
        </is>
      </c>
      <c r="D123" s="6" t="n">
        <v>70</v>
      </c>
      <c r="E123" s="6" t="n">
        <v>37</v>
      </c>
      <c r="F123" s="6">
        <f>E128*D128</f>
        <v/>
      </c>
      <c r="G123" s="6" t="n"/>
      <c r="H123" s="4" t="inlineStr">
        <is>
          <t>pagado</t>
        </is>
      </c>
      <c r="I123" s="6" t="inlineStr"/>
      <c r="J123" s="6" t="inlineStr">
        <is>
          <t>para export agosto</t>
        </is>
      </c>
      <c r="K123" s="6" t="inlineStr">
        <is>
          <t>COMPRA</t>
        </is>
      </c>
    </row>
    <row r="124">
      <c r="A124" t="inlineStr">
        <is>
          <t>15/06/2025</t>
        </is>
      </c>
      <c r="B124" t="inlineStr">
        <is>
          <t>boutique san borja</t>
        </is>
      </c>
      <c r="C124" t="inlineStr">
        <is>
          <t>tapiz grande</t>
        </is>
      </c>
      <c r="D124" t="n">
        <v>1</v>
      </c>
      <c r="E124" t="n">
        <v>780</v>
      </c>
      <c r="F124">
        <f>E129*D129</f>
        <v/>
      </c>
      <c r="H124" s="4" t="inlineStr">
        <is>
          <t>pagado</t>
        </is>
      </c>
      <c r="I124" t="inlineStr">
        <is>
          <t>Maria</t>
        </is>
      </c>
      <c r="J124" t="inlineStr">
        <is>
          <t>cliente nuevo lima</t>
        </is>
      </c>
      <c r="K124" t="inlineStr">
        <is>
          <t>VENTA</t>
        </is>
      </c>
    </row>
    <row r="125">
      <c r="A125" t="inlineStr">
        <is>
          <t>20/6</t>
        </is>
      </c>
      <c r="B125" t="inlineStr">
        <is>
          <t>Export Korea</t>
        </is>
      </c>
      <c r="C125" t="inlineStr">
        <is>
          <t>set alpaca k-fashion</t>
        </is>
      </c>
      <c r="D125" t="n">
        <v>5</v>
      </c>
      <c r="E125" t="n">
        <v>350</v>
      </c>
      <c r="F125">
        <f>E130*D130</f>
        <v/>
      </c>
      <c r="G125" t="n">
        <v>129</v>
      </c>
      <c r="H125" s="4" t="inlineStr">
        <is>
          <t>PAGADO</t>
        </is>
      </c>
      <c r="I125" t="inlineStr">
        <is>
          <t>Juan</t>
        </is>
      </c>
      <c r="J125" t="inlineStr">
        <is>
          <t>tendencia korea!!</t>
        </is>
      </c>
      <c r="K125" t="inlineStr">
        <is>
          <t>VENTA</t>
        </is>
      </c>
    </row>
    <row r="126">
      <c r="A126" t="inlineStr">
        <is>
          <t>jun 25</t>
        </is>
      </c>
      <c r="B126" t="inlineStr">
        <is>
          <t>Rosa Mamani</t>
        </is>
      </c>
      <c r="C126" t="inlineStr">
        <is>
          <t>gorros docena</t>
        </is>
      </c>
      <c r="D126" t="n">
        <v>12</v>
      </c>
      <c r="E126" t="n">
        <v>32</v>
      </c>
      <c r="F126">
        <f>E131*D131</f>
        <v/>
      </c>
      <c r="H126" s="4" t="inlineStr">
        <is>
          <t>pagado</t>
        </is>
      </c>
      <c r="I126" t="inlineStr">
        <is>
          <t>Maria</t>
        </is>
      </c>
      <c r="J126" t="inlineStr"/>
      <c r="K126" t="inlineStr">
        <is>
          <t>venta</t>
        </is>
      </c>
    </row>
    <row r="127"/>
    <row r="128"/>
    <row r="129"/>
    <row r="130"/>
    <row r="131"/>
    <row r="132"/>
    <row r="133"/>
    <row r="134"/>
    <row r="135"/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0" customWidth="1" min="4" max="4"/>
    <col width="14" customWidth="1" min="5" max="5"/>
    <col width="14" customWidth="1" min="6" max="6"/>
    <col width="16" customWidth="1" min="7" max="7"/>
  </cols>
  <sheetData>
    <row r="1">
      <c r="A1" s="10" t="inlineStr">
        <is>
          <t>LISTA CLIENTES (ACTUALIZAR)</t>
        </is>
      </c>
    </row>
    <row r="2">
      <c r="A2" s="11" t="inlineStr">
        <is>
          <t>Nombre</t>
        </is>
      </c>
      <c r="B2" s="11" t="inlineStr">
        <is>
          <t>Pais</t>
        </is>
      </c>
      <c r="C2" s="11" t="inlineStr">
        <is>
          <t>email/wsp</t>
        </is>
      </c>
      <c r="D2" s="11" t="inlineStr">
        <is>
          <t>que compra</t>
        </is>
      </c>
      <c r="E2" s="11" t="inlineStr">
        <is>
          <t>ultimo pedido</t>
        </is>
      </c>
      <c r="F2" s="11" t="inlineStr">
        <is>
          <t>cuanto gasto aprox</t>
        </is>
      </c>
      <c r="G2" s="11" t="inlineStr">
        <is>
          <t>contactar?</t>
        </is>
      </c>
      <c r="I2" s="12" t="inlineStr">
        <is>
          <t>NOTA: faltan varios clientes por agregar!!!</t>
        </is>
      </c>
    </row>
    <row r="3">
      <c r="A3" t="inlineStr">
        <is>
          <t>Boutique Milano</t>
        </is>
      </c>
      <c r="B3" t="inlineStr">
        <is>
          <t>Italia</t>
        </is>
      </c>
      <c r="C3" t="inlineStr">
        <is>
          <t>info@milano.it</t>
        </is>
      </c>
      <c r="D3" t="inlineStr">
        <is>
          <t>chalinas vicuña</t>
        </is>
      </c>
      <c r="E3" t="inlineStr">
        <is>
          <t>03/12/2024</t>
        </is>
      </c>
      <c r="F3" t="n">
        <v>2120</v>
      </c>
      <c r="G3" t="inlineStr">
        <is>
          <t>SI</t>
        </is>
      </c>
    </row>
    <row r="4">
      <c r="A4" t="inlineStr">
        <is>
          <t>Sr. Johnson</t>
        </is>
      </c>
      <c r="B4" t="inlineStr">
        <is>
          <t>EEUU</t>
        </is>
      </c>
      <c r="C4" t="inlineStr">
        <is>
          <t>+1305 555 0192</t>
        </is>
      </c>
      <c r="D4" t="inlineStr">
        <is>
          <t>sweaters alpaca</t>
        </is>
      </c>
      <c r="E4" t="inlineStr">
        <is>
          <t>oct 2024</t>
        </is>
      </c>
      <c r="F4" t="n">
        <v>250</v>
      </c>
      <c r="G4" s="13" t="inlineStr">
        <is>
          <t>pendiente</t>
        </is>
      </c>
    </row>
    <row r="5">
      <c r="A5" t="inlineStr">
        <is>
          <t>Sra Tanaka</t>
        </is>
      </c>
      <c r="B5" t="inlineStr">
        <is>
          <t>Japon</t>
        </is>
      </c>
      <c r="C5" t="inlineStr">
        <is>
          <t>tanaka@mail.jp</t>
        </is>
      </c>
      <c r="D5" t="inlineStr">
        <is>
          <t>sets premium</t>
        </is>
      </c>
      <c r="E5" t="inlineStr">
        <is>
          <t>ene 2025</t>
        </is>
      </c>
      <c r="F5" t="n">
        <v>2940</v>
      </c>
      <c r="G5" s="14" t="inlineStr">
        <is>
          <t>VIP!!</t>
        </is>
      </c>
    </row>
    <row r="6">
      <c r="A6" t="inlineStr">
        <is>
          <t>Export Germany</t>
        </is>
      </c>
      <c r="B6" t="inlineStr">
        <is>
          <t>Alemania</t>
        </is>
      </c>
      <c r="C6" t="inlineStr">
        <is>
          <t>kontakt@germany.de</t>
        </is>
      </c>
      <c r="D6" t="inlineStr">
        <is>
          <t>sweaters vicuña</t>
        </is>
      </c>
      <c r="E6" t="inlineStr">
        <is>
          <t>Mar 2025</t>
        </is>
      </c>
      <c r="F6" t="n">
        <v>3400</v>
      </c>
      <c r="G6" t="inlineStr">
        <is>
          <t>SI</t>
        </is>
      </c>
    </row>
    <row r="7">
      <c r="A7" t="inlineStr">
        <is>
          <t>Rosa Mamani</t>
        </is>
      </c>
      <c r="B7" t="inlineStr">
        <is>
          <t>Peru Lima</t>
        </is>
      </c>
      <c r="C7" t="inlineStr">
        <is>
          <t>985 234 567</t>
        </is>
      </c>
      <c r="D7" t="inlineStr">
        <is>
          <t>gorros mayorista</t>
        </is>
      </c>
      <c r="E7" t="inlineStr">
        <is>
          <t>junio 2025</t>
        </is>
      </c>
      <c r="F7" t="n">
        <v>1152</v>
      </c>
      <c r="G7" t="inlineStr">
        <is>
          <t>cliente fija</t>
        </is>
      </c>
    </row>
    <row r="8">
      <c r="A8" t="inlineStr">
        <is>
          <t>Nordstrom USA</t>
        </is>
      </c>
      <c r="B8" t="inlineStr">
        <is>
          <t>EEUU</t>
        </is>
      </c>
      <c r="C8" t="inlineStr">
        <is>
          <t>buyer@nordstrom.com</t>
        </is>
      </c>
      <c r="D8" t="inlineStr">
        <is>
          <t>sweaters navidad</t>
        </is>
      </c>
      <c r="E8" t="inlineStr">
        <is>
          <t>Nov 2024</t>
        </is>
      </c>
      <c r="F8" t="n">
        <v>2820</v>
      </c>
      <c r="G8" t="inlineStr">
        <is>
          <t>SI grande</t>
        </is>
      </c>
    </row>
    <row r="9">
      <c r="A9" t="inlineStr">
        <is>
          <t>tienda antares</t>
        </is>
      </c>
      <c r="B9" t="inlineStr">
        <is>
          <t>peru</t>
        </is>
      </c>
      <c r="C9" t="inlineStr">
        <is>
          <t>no tengo</t>
        </is>
      </c>
      <c r="D9" t="inlineStr">
        <is>
          <t>varios</t>
        </is>
      </c>
      <c r="E9" t="inlineStr">
        <is>
          <t>feb 2024</t>
        </is>
      </c>
      <c r="F9" t="n">
        <v>520</v>
      </c>
      <c r="G9" t="inlineStr">
        <is>
          <t>buscar tel</t>
        </is>
      </c>
    </row>
    <row r="10">
      <c r="A10" t="inlineStr">
        <is>
          <t>Sr Park</t>
        </is>
      </c>
      <c r="B10" t="inlineStr">
        <is>
          <t>Korea</t>
        </is>
      </c>
      <c r="C10" t="inlineStr">
        <is>
          <t>park@korea.com</t>
        </is>
      </c>
      <c r="D10" t="inlineStr">
        <is>
          <t>chalinas</t>
        </is>
      </c>
      <c r="E10" t="inlineStr">
        <is>
          <t>ago 2024</t>
        </is>
      </c>
      <c r="F10" t="n">
        <v>1560</v>
      </c>
      <c r="G10" t="inlineStr">
        <is>
          <t>potencial</t>
        </is>
      </c>
    </row>
    <row r="11">
      <c r="A11" t="inlineStr">
        <is>
          <t>Export Suecia</t>
        </is>
      </c>
      <c r="B11" t="inlineStr">
        <is>
          <t>Suecia</t>
        </is>
      </c>
      <c r="C11" t="inlineStr">
        <is>
          <t>orders@sweden.se</t>
        </is>
      </c>
      <c r="D11" t="inlineStr">
        <is>
          <t>mantas nordicas</t>
        </is>
      </c>
      <c r="E11" t="inlineStr">
        <is>
          <t>mayo 2025</t>
        </is>
      </c>
      <c r="F11" t="n">
        <v>3060</v>
      </c>
      <c r="G11" t="inlineStr">
        <is>
          <t>SI</t>
        </is>
      </c>
    </row>
    <row r="12">
      <c r="A12" t="inlineStr">
        <is>
          <t>Milan Fashion</t>
        </is>
      </c>
      <c r="B12" t="inlineStr">
        <is>
          <t>Italia</t>
        </is>
      </c>
      <c r="C12" t="inlineStr">
        <is>
          <t>buyer@milanfash.com</t>
        </is>
      </c>
      <c r="D12" t="inlineStr">
        <is>
          <t>chalinas premium</t>
        </is>
      </c>
      <c r="E12" t="inlineStr">
        <is>
          <t>Jun 2025</t>
        </is>
      </c>
      <c r="F12" t="n">
        <v>3360</v>
      </c>
      <c r="G12" t="inlineStr">
        <is>
          <t>top cliente</t>
        </is>
      </c>
    </row>
    <row r="13">
      <c r="A13" t="inlineStr">
        <is>
          <t>Etsy varios</t>
        </is>
      </c>
      <c r="B13" t="inlineStr">
        <is>
          <t>varios</t>
        </is>
      </c>
      <c r="C13" t="inlineStr">
        <is>
          <t>etsy dashboard</t>
        </is>
      </c>
      <c r="D13" t="inlineStr">
        <is>
          <t>variado</t>
        </is>
      </c>
      <c r="E13" t="inlineStr">
        <is>
          <t>junio 2025</t>
        </is>
      </c>
      <c r="G13" t="inlineStr">
        <is>
          <t>revisar etsy</t>
        </is>
      </c>
    </row>
    <row r="14">
      <c r="A14" t="inlineStr">
        <is>
          <t>boutique miraflores</t>
        </is>
      </c>
      <c r="B14" t="inlineStr">
        <is>
          <t>Peru Lima</t>
        </is>
      </c>
      <c r="C14" t="inlineStr">
        <is>
          <t>234 5678</t>
        </is>
      </c>
      <c r="D14" t="inlineStr">
        <is>
          <t>chalinas vicuña</t>
        </is>
      </c>
      <c r="E14" t="inlineStr">
        <is>
          <t>abr 2025</t>
        </is>
      </c>
      <c r="F14" t="n">
        <v>1440</v>
      </c>
      <c r="G14" s="13" t="inlineStr">
        <is>
          <t>pendiente pago</t>
        </is>
      </c>
    </row>
    <row r="15">
      <c r="A15" t="inlineStr">
        <is>
          <t>Canada export</t>
        </is>
      </c>
      <c r="B15" t="inlineStr">
        <is>
          <t>Canada</t>
        </is>
      </c>
      <c r="C15" t="inlineStr">
        <is>
          <t>?? buscar email</t>
        </is>
      </c>
      <c r="D15" t="inlineStr">
        <is>
          <t>mantas ponchos</t>
        </is>
      </c>
      <c r="E15" t="inlineStr">
        <is>
          <t>dic 2024</t>
        </is>
      </c>
      <c r="F15" t="n">
        <v>2970</v>
      </c>
      <c r="G15" t="inlineStr">
        <is>
          <t>SI</t>
        </is>
      </c>
    </row>
    <row r="16">
      <c r="A16" t="inlineStr">
        <is>
          <t>Sra Watanabe</t>
        </is>
      </c>
      <c r="B16" t="inlineStr">
        <is>
          <t>Japon</t>
        </is>
      </c>
      <c r="C16" t="inlineStr">
        <is>
          <t>watanabe@jp.co</t>
        </is>
      </c>
      <c r="D16" t="inlineStr">
        <is>
          <t>sets regalo</t>
        </is>
      </c>
      <c r="E16" t="inlineStr">
        <is>
          <t>mar 2024</t>
        </is>
      </c>
      <c r="F16" t="n">
        <v>1950</v>
      </c>
      <c r="G16" s="14" t="inlineStr">
        <is>
          <t>VIP</t>
        </is>
      </c>
    </row>
    <row r="17">
      <c r="A17" t="inlineStr">
        <is>
          <t>Sr Smith UK</t>
        </is>
      </c>
      <c r="B17" t="inlineStr">
        <is>
          <t>UK</t>
        </is>
      </c>
      <c r="C17" t="inlineStr">
        <is>
          <t>smith@uk.com</t>
        </is>
      </c>
      <c r="D17" t="inlineStr">
        <is>
          <t>ponchos</t>
        </is>
      </c>
      <c r="E17" t="inlineStr">
        <is>
          <t>abr 2024</t>
        </is>
      </c>
      <c r="F17" t="n">
        <v>420</v>
      </c>
      <c r="G17" t="inlineStr">
        <is>
          <t>no respondio</t>
        </is>
      </c>
    </row>
    <row r="18">
      <c r="A18" t="inlineStr">
        <is>
          <t>LOCAL CUSCO</t>
        </is>
      </c>
      <c r="B18" t="inlineStr">
        <is>
          <t>Peru</t>
        </is>
      </c>
      <c r="C18" t="inlineStr">
        <is>
          <t>varios</t>
        </is>
      </c>
      <c r="D18" t="inlineStr">
        <is>
          <t>tapices</t>
        </is>
      </c>
      <c r="E18" t="inlineStr">
        <is>
          <t>junio 2025</t>
        </is>
      </c>
      <c r="G18" t="inlineStr">
        <is>
          <t>efectivo</t>
        </is>
      </c>
    </row>
    <row r="19">
      <c r="A19" t="inlineStr">
        <is>
          <t>Export Korea nuevo</t>
        </is>
      </c>
      <c r="B19" t="inlineStr">
        <is>
          <t>Korea</t>
        </is>
      </c>
      <c r="C19" t="inlineStr">
        <is>
          <t>newbuyer@kr</t>
        </is>
      </c>
      <c r="D19" t="inlineStr">
        <is>
          <t>k-fashion alpaca</t>
        </is>
      </c>
      <c r="E19" t="inlineStr">
        <is>
          <t>jun 2025</t>
        </is>
      </c>
      <c r="F19" t="n">
        <v>1750</v>
      </c>
      <c r="G19" t="inlineStr">
        <is>
          <t>NUEVO POTENCIAL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8" customWidth="1" min="5" max="5"/>
    <col width="12" customWidth="1" min="6" max="6"/>
    <col width="25" customWidth="1" min="7" max="7"/>
  </cols>
  <sheetData>
    <row r="1">
      <c r="A1" s="2" t="inlineStr">
        <is>
          <t>LISTA DE PRECIOS (NO ACTUALIZADA - OJO CON LOS DÓLARES)</t>
        </is>
      </c>
    </row>
    <row r="2">
      <c r="A2" s="3" t="inlineStr">
        <is>
          <t>Producto</t>
        </is>
      </c>
      <c r="B2" s="3" t="inlineStr">
        <is>
          <t>Precio S/ min</t>
        </is>
      </c>
      <c r="C2" s="3" t="inlineStr">
        <is>
          <t>Precio S/ max</t>
        </is>
      </c>
      <c r="D2" s="3" t="inlineStr">
        <is>
          <t>Precio USD aprox</t>
        </is>
      </c>
      <c r="E2" s="3" t="inlineStr">
        <is>
          <t>Costo produccion S/</t>
        </is>
      </c>
      <c r="F2" s="3" t="inlineStr">
        <is>
          <t>Margen %??</t>
        </is>
      </c>
      <c r="G2" s="3" t="inlineStr">
        <is>
          <t>Notas</t>
        </is>
      </c>
    </row>
    <row r="3">
      <c r="A3" t="inlineStr">
        <is>
          <t>Chalina alpaca baby</t>
        </is>
      </c>
      <c r="B3" t="n">
        <v>150</v>
      </c>
      <c r="C3" t="n">
        <v>200</v>
      </c>
      <c r="D3" t="inlineStr">
        <is>
          <t>55-73</t>
        </is>
      </c>
      <c r="E3" t="n">
        <v>65</v>
      </c>
      <c r="F3" s="15">
        <f>((B4+C4)/2-E4)/((B4+C4)/2)</f>
        <v/>
      </c>
      <c r="G3" t="inlineStr">
        <is>
          <t>precio 2023, revisar</t>
        </is>
      </c>
    </row>
    <row r="4">
      <c r="A4" t="inlineStr">
        <is>
          <t>Sweater alpaca</t>
        </is>
      </c>
      <c r="B4" t="n">
        <v>200</v>
      </c>
      <c r="C4" t="n">
        <v>280</v>
      </c>
      <c r="D4" t="inlineStr">
        <is>
          <t>74-103</t>
        </is>
      </c>
      <c r="E4" t="n">
        <v>95</v>
      </c>
      <c r="F4" s="15">
        <f>((B5+C5)/2-E5)/((B5+C5)/2)</f>
        <v/>
      </c>
      <c r="G4" t="inlineStr"/>
    </row>
    <row r="5">
      <c r="A5" t="inlineStr">
        <is>
          <t>Poncho alpaca</t>
        </is>
      </c>
      <c r="B5" t="n">
        <v>350</v>
      </c>
      <c r="C5" t="n">
        <v>450</v>
      </c>
      <c r="D5" t="inlineStr">
        <is>
          <t>129-166</t>
        </is>
      </c>
      <c r="E5" t="n">
        <v>140</v>
      </c>
      <c r="F5" s="15">
        <f>((B6+C6)/2-E6)/((B6+C6)/2)</f>
        <v/>
      </c>
      <c r="G5" t="inlineStr">
        <is>
          <t>subir precio 2025?</t>
        </is>
      </c>
    </row>
    <row r="6">
      <c r="A6" t="inlineStr">
        <is>
          <t>Chalina VICUÑA</t>
        </is>
      </c>
      <c r="B6" t="n">
        <v>550</v>
      </c>
      <c r="C6" t="n">
        <v>850</v>
      </c>
      <c r="D6" t="inlineStr">
        <is>
          <t>202-313</t>
        </is>
      </c>
      <c r="E6" t="n">
        <v>180</v>
      </c>
      <c r="F6" s="15">
        <f>((B7+C7)/2-E7)/((B7+C7)/2)</f>
        <v/>
      </c>
      <c r="G6" t="inlineStr">
        <is>
          <t>PRODUCTO ESTRELLA</t>
        </is>
      </c>
    </row>
    <row r="7">
      <c r="A7" t="inlineStr">
        <is>
          <t>Sweater VICUÑA</t>
        </is>
      </c>
      <c r="B7" t="n">
        <v>700</v>
      </c>
      <c r="C7" t="n">
        <v>950</v>
      </c>
      <c r="D7" t="inlineStr">
        <is>
          <t>257-350</t>
        </is>
      </c>
      <c r="E7" t="n">
        <v>250</v>
      </c>
      <c r="F7" s="15">
        <f>((B8+C8)/2-E8)/((B8+C8)/2)</f>
        <v/>
      </c>
      <c r="G7" t="inlineStr">
        <is>
          <t>solo bajo pedido</t>
        </is>
      </c>
    </row>
    <row r="8">
      <c r="A8" t="inlineStr">
        <is>
          <t>Gorros alpaca</t>
        </is>
      </c>
      <c r="B8" t="n">
        <v>25</v>
      </c>
      <c r="C8" t="n">
        <v>40</v>
      </c>
      <c r="D8" t="inlineStr">
        <is>
          <t>9-15</t>
        </is>
      </c>
      <c r="E8" t="n">
        <v>12</v>
      </c>
      <c r="F8" s="15">
        <f>((B9+C9)/2-E9)/((B9+C9)/2)</f>
        <v/>
      </c>
      <c r="G8" t="inlineStr">
        <is>
          <t>precio feria</t>
        </is>
      </c>
    </row>
    <row r="9">
      <c r="A9" t="inlineStr">
        <is>
          <t>Gorros alpaca exportac</t>
        </is>
      </c>
      <c r="B9" t="n">
        <v>55</v>
      </c>
      <c r="C9" t="n">
        <v>80</v>
      </c>
      <c r="D9" t="inlineStr">
        <is>
          <t>20-29</t>
        </is>
      </c>
      <c r="E9" t="n">
        <v>15</v>
      </c>
      <c r="F9" s="15">
        <f>((B10+C10)/2-E10)/((B10+C10)/2)</f>
        <v/>
      </c>
      <c r="G9" t="inlineStr">
        <is>
          <t>con empaque</t>
        </is>
      </c>
    </row>
    <row r="10">
      <c r="A10" t="inlineStr">
        <is>
          <t>Tapiz pequeño</t>
        </is>
      </c>
      <c r="B10" t="n">
        <v>100</v>
      </c>
      <c r="C10" t="n">
        <v>150</v>
      </c>
      <c r="D10" t="inlineStr">
        <is>
          <t>37-55</t>
        </is>
      </c>
      <c r="E10" t="n">
        <v>55</v>
      </c>
      <c r="F10" s="15">
        <f>((B11+C11)/2-E11)/((B11+C11)/2)</f>
        <v/>
      </c>
      <c r="G10" t="inlineStr"/>
    </row>
    <row r="11">
      <c r="A11" t="inlineStr">
        <is>
          <t>Tapiz grande</t>
        </is>
      </c>
      <c r="B11" t="n">
        <v>500</v>
      </c>
      <c r="C11" t="n">
        <v>800</v>
      </c>
      <c r="D11" t="inlineStr">
        <is>
          <t>184-294</t>
        </is>
      </c>
      <c r="E11" t="n">
        <v>200</v>
      </c>
      <c r="F11" s="15">
        <f>((B12+C12)/2-E12)/((B12+C12)/2)</f>
        <v/>
      </c>
      <c r="G11" t="inlineStr">
        <is>
          <t>personalizado</t>
        </is>
      </c>
    </row>
    <row r="12">
      <c r="A12" t="inlineStr">
        <is>
          <t>Manta alpaca</t>
        </is>
      </c>
      <c r="B12" t="n">
        <v>400</v>
      </c>
      <c r="C12" t="n">
        <v>550</v>
      </c>
      <c r="D12" t="inlineStr">
        <is>
          <t>147-202</t>
        </is>
      </c>
      <c r="E12" t="n">
        <v>160</v>
      </c>
      <c r="F12" s="15">
        <f>((B13+C13)/2-E13)/((B13+C13)/2)</f>
        <v/>
      </c>
      <c r="G12" t="inlineStr"/>
    </row>
    <row r="13">
      <c r="A13" t="inlineStr">
        <is>
          <t>Set regalo basico</t>
        </is>
      </c>
      <c r="B13" t="n">
        <v>200</v>
      </c>
      <c r="C13" t="n">
        <v>280</v>
      </c>
      <c r="D13" t="inlineStr">
        <is>
          <t>74-103</t>
        </is>
      </c>
      <c r="E13" t="n">
        <v>90</v>
      </c>
      <c r="F13" s="15">
        <f>((B14+C14)/2-E14)/((B14+C14)/2)</f>
        <v/>
      </c>
      <c r="G13" t="inlineStr">
        <is>
          <t>chalina+gorro</t>
        </is>
      </c>
    </row>
    <row r="14">
      <c r="A14" t="inlineStr">
        <is>
          <t>Set regalo premium</t>
        </is>
      </c>
      <c r="B14" t="n">
        <v>800</v>
      </c>
      <c r="C14" t="n">
        <v>1200</v>
      </c>
      <c r="D14" t="inlineStr">
        <is>
          <t>294-441</t>
        </is>
      </c>
      <c r="E14" t="n">
        <v>300</v>
      </c>
      <c r="F14" s="15">
        <f>((B15+C15)/2-E15)/((B15+C15)/2)</f>
        <v/>
      </c>
      <c r="G14" t="inlineStr">
        <is>
          <t>vicuña incluida</t>
        </is>
      </c>
    </row>
    <row r="15">
      <c r="A15" t="inlineStr">
        <is>
          <t>Guantes alpaca</t>
        </is>
      </c>
      <c r="B15" t="n">
        <v>40</v>
      </c>
      <c r="C15" t="n">
        <v>60</v>
      </c>
      <c r="D15" t="inlineStr">
        <is>
          <t>15-22</t>
        </is>
      </c>
      <c r="E15" t="n">
        <v>18</v>
      </c>
      <c r="F15" s="15">
        <f>((B16+C16)/2-E16)/((B16+C16)/2)</f>
        <v/>
      </c>
      <c r="G15" t="inlineStr">
        <is>
          <t>poco stock</t>
        </is>
      </c>
    </row>
    <row r="18">
      <c r="A18" s="2" t="inlineStr">
        <is>
          <t>TIPO DE CAMBIO USADO: 2.72 (ACTUALIZAR!!!!)</t>
        </is>
      </c>
    </row>
    <row r="19">
      <c r="A19" s="16" t="inlineStr">
        <is>
          <t>Estos precios son ORIENTATIVOS - negociar caso por caso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0" customWidth="1" min="4" max="4"/>
    <col width="20" customWidth="1" min="5" max="5"/>
  </cols>
  <sheetData>
    <row r="1">
      <c r="A1" s="11" t="inlineStr">
        <is>
          <t>gastos del negocio (pasar a excel limpio algun dia)</t>
        </is>
      </c>
    </row>
    <row r="2">
      <c r="A2" s="11" t="inlineStr">
        <is>
          <t>mes</t>
        </is>
      </c>
      <c r="B2" s="11" t="inlineStr">
        <is>
          <t>concepto</t>
        </is>
      </c>
      <c r="C2" s="11" t="inlineStr">
        <is>
          <t>monto S/</t>
        </is>
      </c>
      <c r="D2" s="11" t="inlineStr">
        <is>
          <t>pagado?</t>
        </is>
      </c>
      <c r="E2" s="11" t="inlineStr">
        <is>
          <t>comprobante?</t>
        </is>
      </c>
    </row>
    <row r="3">
      <c r="A3" t="inlineStr">
        <is>
          <t>enero 24</t>
        </is>
      </c>
      <c r="B3" t="inlineStr">
        <is>
          <t>alquiler taller</t>
        </is>
      </c>
      <c r="C3" t="n">
        <v>600</v>
      </c>
      <c r="D3" t="inlineStr">
        <is>
          <t>si</t>
        </is>
      </c>
      <c r="E3" t="inlineStr">
        <is>
          <t>si</t>
        </is>
      </c>
      <c r="G3" s="2" t="inlineStr">
        <is>
          <t>FALTA: muchos gastos no están registrados aquí</t>
        </is>
      </c>
    </row>
    <row r="4">
      <c r="A4" t="inlineStr">
        <is>
          <t>enero</t>
        </is>
      </c>
      <c r="B4" t="inlineStr">
        <is>
          <t>luz</t>
        </is>
      </c>
      <c r="C4" t="n">
        <v>85</v>
      </c>
      <c r="D4" t="inlineStr">
        <is>
          <t>si</t>
        </is>
      </c>
      <c r="E4" t="inlineStr">
        <is>
          <t>si</t>
        </is>
      </c>
    </row>
    <row r="5">
      <c r="A5" t="inlineStr">
        <is>
          <t>enero</t>
        </is>
      </c>
      <c r="B5" t="inlineStr">
        <is>
          <t>agua</t>
        </is>
      </c>
      <c r="C5" t="n">
        <v>40</v>
      </c>
      <c r="D5" t="inlineStr">
        <is>
          <t>si</t>
        </is>
      </c>
      <c r="E5" t="inlineStr">
        <is>
          <t>no</t>
        </is>
      </c>
    </row>
    <row r="6">
      <c r="A6" t="inlineStr">
        <is>
          <t>ene-feb</t>
        </is>
      </c>
      <c r="B6" t="inlineStr">
        <is>
          <t>materiales varios</t>
        </is>
      </c>
      <c r="C6" t="n">
        <v>320</v>
      </c>
      <c r="D6" t="inlineStr">
        <is>
          <t>si</t>
        </is>
      </c>
      <c r="E6" t="inlineStr">
        <is>
          <t>algunos</t>
        </is>
      </c>
    </row>
    <row r="7">
      <c r="A7" t="inlineStr">
        <is>
          <t>feb 24</t>
        </is>
      </c>
      <c r="B7" t="inlineStr">
        <is>
          <t>alquiler</t>
        </is>
      </c>
      <c r="C7" t="n">
        <v>600</v>
      </c>
      <c r="D7" t="inlineStr">
        <is>
          <t>si</t>
        </is>
      </c>
      <c r="E7" t="inlineStr">
        <is>
          <t>si</t>
        </is>
      </c>
    </row>
    <row r="8">
      <c r="A8" t="inlineStr">
        <is>
          <t>febrero</t>
        </is>
      </c>
      <c r="B8" t="inlineStr">
        <is>
          <t>DHL envios</t>
        </is>
      </c>
      <c r="C8" t="n">
        <v>380</v>
      </c>
      <c r="D8" t="inlineStr">
        <is>
          <t>si</t>
        </is>
      </c>
      <c r="E8" t="inlineStr">
        <is>
          <t>si</t>
        </is>
      </c>
    </row>
    <row r="9">
      <c r="A9" t="inlineStr">
        <is>
          <t>feb</t>
        </is>
      </c>
      <c r="B9" t="inlineStr">
        <is>
          <t>instagram ads??</t>
        </is>
      </c>
      <c r="C9" t="n">
        <v>150</v>
      </c>
      <c r="D9" t="inlineStr">
        <is>
          <t>si</t>
        </is>
      </c>
      <c r="E9" t="inlineStr">
        <is>
          <t>no</t>
        </is>
      </c>
    </row>
    <row r="10">
      <c r="A10" t="inlineStr">
        <is>
          <t>marzo</t>
        </is>
      </c>
      <c r="B10" t="inlineStr">
        <is>
          <t>alquiler</t>
        </is>
      </c>
      <c r="C10" t="n">
        <v>600</v>
      </c>
      <c r="D10" t="inlineStr">
        <is>
          <t>si</t>
        </is>
      </c>
      <c r="E10" t="inlineStr">
        <is>
          <t>si</t>
        </is>
      </c>
    </row>
    <row r="11">
      <c r="A11" t="inlineStr">
        <is>
          <t>mar 24</t>
        </is>
      </c>
      <c r="B11" t="inlineStr">
        <is>
          <t>sueldos 2 personas</t>
        </is>
      </c>
      <c r="C11" t="n">
        <v>1800</v>
      </c>
      <c r="D11" t="inlineStr">
        <is>
          <t>si</t>
        </is>
      </c>
      <c r="E11" t="inlineStr">
        <is>
          <t>no (planilla manual)</t>
        </is>
      </c>
    </row>
    <row r="12">
      <c r="A12" t="inlineStr">
        <is>
          <t>marzo</t>
        </is>
      </c>
      <c r="B12" t="inlineStr">
        <is>
          <t>ferias inscripcion</t>
        </is>
      </c>
      <c r="C12" t="n">
        <v>200</v>
      </c>
      <c r="D12" t="inlineStr">
        <is>
          <t>si</t>
        </is>
      </c>
      <c r="E12" t="inlineStr">
        <is>
          <t>no</t>
        </is>
      </c>
    </row>
    <row r="13">
      <c r="A13" t="inlineStr">
        <is>
          <t>abr</t>
        </is>
      </c>
      <c r="B13" t="inlineStr">
        <is>
          <t>alquiler</t>
        </is>
      </c>
      <c r="C13" t="n">
        <v>600</v>
      </c>
      <c r="D13" t="inlineStr">
        <is>
          <t>si</t>
        </is>
      </c>
      <c r="E13" t="inlineStr">
        <is>
          <t>si</t>
        </is>
      </c>
    </row>
    <row r="14">
      <c r="A14" t="inlineStr">
        <is>
          <t>abril 24</t>
        </is>
      </c>
      <c r="B14" t="inlineStr">
        <is>
          <t>materiales</t>
        </is>
      </c>
      <c r="C14" t="n">
        <v>280</v>
      </c>
      <c r="D14" t="inlineStr">
        <is>
          <t>si</t>
        </is>
      </c>
      <c r="E14" t="inlineStr">
        <is>
          <t>algunos</t>
        </is>
      </c>
    </row>
    <row r="15">
      <c r="A15" t="inlineStr">
        <is>
          <t>mayo</t>
        </is>
      </c>
      <c r="B15" t="inlineStr">
        <is>
          <t>alquiler</t>
        </is>
      </c>
      <c r="C15" t="n">
        <v>600</v>
      </c>
      <c r="D15" t="inlineStr">
        <is>
          <t>si</t>
        </is>
      </c>
      <c r="E15" t="inlineStr">
        <is>
          <t>si</t>
        </is>
      </c>
    </row>
    <row r="16">
      <c r="A16" t="inlineStr">
        <is>
          <t>mayo</t>
        </is>
      </c>
      <c r="B16" t="inlineStr">
        <is>
          <t>sueldos</t>
        </is>
      </c>
      <c r="C16" t="n">
        <v>1800</v>
      </c>
      <c r="D16" t="inlineStr">
        <is>
          <t>si</t>
        </is>
      </c>
      <c r="E16" t="inlineStr">
        <is>
          <t>no</t>
        </is>
      </c>
    </row>
    <row r="17">
      <c r="A17" t="inlineStr">
        <is>
          <t>jun 24</t>
        </is>
      </c>
      <c r="B17" t="inlineStr">
        <is>
          <t>alquiler</t>
        </is>
      </c>
      <c r="C17" t="n">
        <v>600</v>
      </c>
      <c r="D17" t="inlineStr">
        <is>
          <t>si</t>
        </is>
      </c>
      <c r="E17" t="inlineStr">
        <is>
          <t>si</t>
        </is>
      </c>
    </row>
    <row r="18">
      <c r="A18" t="inlineStr">
        <is>
          <t>junio</t>
        </is>
      </c>
      <c r="B18" t="inlineStr">
        <is>
          <t>delivery y envios</t>
        </is>
      </c>
      <c r="C18" t="n">
        <v>420</v>
      </c>
      <c r="D18" t="inlineStr">
        <is>
          <t>si</t>
        </is>
      </c>
      <c r="E18" t="inlineStr">
        <is>
          <t>si</t>
        </is>
      </c>
    </row>
    <row r="19">
      <c r="A19" t="inlineStr">
        <is>
          <t>jul</t>
        </is>
      </c>
      <c r="B19" t="inlineStr">
        <is>
          <t>alquiler</t>
        </is>
      </c>
      <c r="C19" t="n">
        <v>600</v>
      </c>
      <c r="D19" t="inlineStr">
        <is>
          <t>si</t>
        </is>
      </c>
      <c r="E19" t="inlineStr">
        <is>
          <t>si</t>
        </is>
      </c>
    </row>
    <row r="20">
      <c r="A20" t="inlineStr">
        <is>
          <t>julio 24</t>
        </is>
      </c>
      <c r="B20" t="inlineStr">
        <is>
          <t>telar nuevo INVERSION</t>
        </is>
      </c>
      <c r="C20" t="n">
        <v>1500</v>
      </c>
      <c r="D20" t="inlineStr">
        <is>
          <t>si</t>
        </is>
      </c>
      <c r="E20" t="inlineStr">
        <is>
          <t>si</t>
        </is>
      </c>
    </row>
    <row r="21">
      <c r="A21" t="inlineStr">
        <is>
          <t>ago</t>
        </is>
      </c>
      <c r="B21" t="inlineStr">
        <is>
          <t>alquiler</t>
        </is>
      </c>
      <c r="C21" t="n">
        <v>600</v>
      </c>
      <c r="D21" t="inlineStr">
        <is>
          <t>si</t>
        </is>
      </c>
      <c r="E21" t="inlineStr">
        <is>
          <t>si</t>
        </is>
      </c>
    </row>
    <row r="22">
      <c r="A22" t="inlineStr">
        <is>
          <t>agosto</t>
        </is>
      </c>
      <c r="B22" t="inlineStr">
        <is>
          <t>sueldos</t>
        </is>
      </c>
      <c r="C22" t="n">
        <v>1800</v>
      </c>
      <c r="D22" t="inlineStr">
        <is>
          <t>si</t>
        </is>
      </c>
      <c r="E22" t="inlineStr">
        <is>
          <t>no</t>
        </is>
      </c>
    </row>
    <row r="23">
      <c r="A23" t="inlineStr">
        <is>
          <t>sep 24</t>
        </is>
      </c>
      <c r="B23" t="inlineStr">
        <is>
          <t>alquiler</t>
        </is>
      </c>
      <c r="C23" t="n">
        <v>600</v>
      </c>
      <c r="D23" t="inlineStr">
        <is>
          <t>si</t>
        </is>
      </c>
      <c r="E23" t="inlineStr">
        <is>
          <t>si</t>
        </is>
      </c>
    </row>
    <row r="24">
      <c r="A24" t="inlineStr">
        <is>
          <t>sept</t>
        </is>
      </c>
      <c r="B24" t="inlineStr">
        <is>
          <t>mantenimiento maquina</t>
        </is>
      </c>
      <c r="C24" t="n">
        <v>350</v>
      </c>
      <c r="D24" t="inlineStr">
        <is>
          <t>si</t>
        </is>
      </c>
      <c r="E24" t="inlineStr">
        <is>
          <t>no</t>
        </is>
      </c>
    </row>
    <row r="25">
      <c r="A25" t="inlineStr">
        <is>
          <t>oct</t>
        </is>
      </c>
      <c r="B25" t="inlineStr">
        <is>
          <t>alquiler</t>
        </is>
      </c>
      <c r="C25" t="n">
        <v>600</v>
      </c>
      <c r="D25" t="inlineStr">
        <is>
          <t>si</t>
        </is>
      </c>
      <c r="E25" t="inlineStr">
        <is>
          <t>si</t>
        </is>
      </c>
    </row>
    <row r="26">
      <c r="A26" t="inlineStr">
        <is>
          <t>octubre</t>
        </is>
      </c>
      <c r="B26" t="inlineStr">
        <is>
          <t>materiales embalaje</t>
        </is>
      </c>
      <c r="C26" t="n">
        <v>180</v>
      </c>
      <c r="D26" t="inlineStr">
        <is>
          <t>si</t>
        </is>
      </c>
      <c r="E26" t="inlineStr">
        <is>
          <t>algunos</t>
        </is>
      </c>
    </row>
    <row r="27">
      <c r="A27" t="inlineStr">
        <is>
          <t>nov 24</t>
        </is>
      </c>
      <c r="B27" t="inlineStr">
        <is>
          <t>alquiler</t>
        </is>
      </c>
      <c r="C27" t="n">
        <v>600</v>
      </c>
      <c r="D27" t="inlineStr">
        <is>
          <t>si</t>
        </is>
      </c>
      <c r="E27" t="inlineStr">
        <is>
          <t>si</t>
        </is>
      </c>
    </row>
    <row r="28">
      <c r="A28" t="inlineStr">
        <is>
          <t>noviembre</t>
        </is>
      </c>
      <c r="B28" t="inlineStr">
        <is>
          <t>sueldos</t>
        </is>
      </c>
      <c r="C28" t="n">
        <v>1800</v>
      </c>
      <c r="D28" t="inlineStr">
        <is>
          <t>si</t>
        </is>
      </c>
      <c r="E28" t="inlineStr">
        <is>
          <t>no</t>
        </is>
      </c>
    </row>
    <row r="29">
      <c r="A29" t="inlineStr">
        <is>
          <t>noviembre</t>
        </is>
      </c>
      <c r="B29" t="inlineStr">
        <is>
          <t>instagram y facebook</t>
        </is>
      </c>
      <c r="C29" t="n">
        <v>200</v>
      </c>
      <c r="D29" t="inlineStr">
        <is>
          <t>si</t>
        </is>
      </c>
      <c r="E29" t="inlineStr">
        <is>
          <t>no</t>
        </is>
      </c>
    </row>
    <row r="30">
      <c r="A30" t="inlineStr">
        <is>
          <t>dic 24</t>
        </is>
      </c>
      <c r="B30" t="inlineStr">
        <is>
          <t>alquiler</t>
        </is>
      </c>
      <c r="C30" t="n">
        <v>600</v>
      </c>
      <c r="D30" t="inlineStr">
        <is>
          <t>si</t>
        </is>
      </c>
      <c r="E30" t="inlineStr">
        <is>
          <t>si</t>
        </is>
      </c>
    </row>
    <row r="31">
      <c r="A31" t="inlineStr">
        <is>
          <t>diciembre</t>
        </is>
      </c>
      <c r="B31" t="inlineStr">
        <is>
          <t>sueldos + aguinaldo</t>
        </is>
      </c>
      <c r="C31" t="n">
        <v>1900</v>
      </c>
      <c r="D31" t="inlineStr">
        <is>
          <t>si</t>
        </is>
      </c>
      <c r="E31" t="inlineStr">
        <is>
          <t>no</t>
        </is>
      </c>
    </row>
    <row r="32">
      <c r="A32" t="inlineStr">
        <is>
          <t>diciembre</t>
        </is>
      </c>
      <c r="B32" t="inlineStr">
        <is>
          <t>cajas navidad embalaje</t>
        </is>
      </c>
      <c r="C32" t="n">
        <v>425</v>
      </c>
      <c r="D32" t="inlineStr">
        <is>
          <t>si</t>
        </is>
      </c>
      <c r="E32" t="inlineStr">
        <is>
          <t>si</t>
        </is>
      </c>
    </row>
    <row r="33">
      <c r="A33" t="inlineStr">
        <is>
          <t>dic</t>
        </is>
      </c>
      <c r="B33" t="inlineStr">
        <is>
          <t>DHL navidad</t>
        </is>
      </c>
      <c r="C33" t="n">
        <v>680</v>
      </c>
      <c r="D33" t="inlineStr">
        <is>
          <t>si</t>
        </is>
      </c>
      <c r="E33" t="inlineStr">
        <is>
          <t>si</t>
        </is>
      </c>
    </row>
    <row r="34"/>
    <row r="35">
      <c r="A35" t="inlineStr">
        <is>
          <t>2025</t>
        </is>
      </c>
      <c r="B35" t="inlineStr">
        <is>
          <t>---</t>
        </is>
      </c>
    </row>
    <row r="36">
      <c r="A36" t="inlineStr">
        <is>
          <t>ene 25</t>
        </is>
      </c>
      <c r="B36" t="inlineStr">
        <is>
          <t>alquiler subio!</t>
        </is>
      </c>
      <c r="C36" t="n">
        <v>700</v>
      </c>
      <c r="D36" t="inlineStr">
        <is>
          <t>si</t>
        </is>
      </c>
      <c r="E36" t="inlineStr">
        <is>
          <t>si</t>
        </is>
      </c>
    </row>
    <row r="37">
      <c r="A37" t="inlineStr">
        <is>
          <t>enero 25</t>
        </is>
      </c>
      <c r="B37" t="inlineStr">
        <is>
          <t>materiales</t>
        </is>
      </c>
      <c r="C37" t="n">
        <v>400</v>
      </c>
      <c r="D37" t="inlineStr">
        <is>
          <t>si</t>
        </is>
      </c>
      <c r="E37" t="inlineStr">
        <is>
          <t>algunos</t>
        </is>
      </c>
    </row>
    <row r="38">
      <c r="A38" t="inlineStr">
        <is>
          <t>feb</t>
        </is>
      </c>
      <c r="B38" t="inlineStr">
        <is>
          <t>alquiler</t>
        </is>
      </c>
      <c r="C38" t="n">
        <v>700</v>
      </c>
      <c r="D38" t="inlineStr">
        <is>
          <t>si</t>
        </is>
      </c>
      <c r="E38" t="inlineStr">
        <is>
          <t>si</t>
        </is>
      </c>
    </row>
    <row r="39">
      <c r="A39" t="inlineStr">
        <is>
          <t>febrero 25</t>
        </is>
      </c>
      <c r="B39" t="inlineStr">
        <is>
          <t>mant telares</t>
        </is>
      </c>
      <c r="C39" t="n">
        <v>350</v>
      </c>
      <c r="D39" t="inlineStr">
        <is>
          <t>si</t>
        </is>
      </c>
      <c r="E39" t="inlineStr">
        <is>
          <t>no</t>
        </is>
      </c>
    </row>
    <row r="40">
      <c r="A40" t="inlineStr">
        <is>
          <t>mar 25</t>
        </is>
      </c>
      <c r="B40" t="inlineStr">
        <is>
          <t>alquiler</t>
        </is>
      </c>
      <c r="C40" t="n">
        <v>700</v>
      </c>
      <c r="D40" t="inlineStr">
        <is>
          <t>si</t>
        </is>
      </c>
      <c r="E40" t="inlineStr">
        <is>
          <t>si</t>
        </is>
      </c>
    </row>
    <row r="41">
      <c r="A41" t="inlineStr">
        <is>
          <t>marzo</t>
        </is>
      </c>
      <c r="B41" t="inlineStr">
        <is>
          <t>sueldos 2025</t>
        </is>
      </c>
      <c r="C41" t="n">
        <v>2000</v>
      </c>
      <c r="D41" t="inlineStr">
        <is>
          <t>si</t>
        </is>
      </c>
      <c r="E41" t="inlineStr">
        <is>
          <t>no</t>
        </is>
      </c>
    </row>
    <row r="42">
      <c r="A42" t="inlineStr">
        <is>
          <t>abr 25</t>
        </is>
      </c>
      <c r="B42" t="inlineStr">
        <is>
          <t>alquiler</t>
        </is>
      </c>
      <c r="C42" t="n">
        <v>700</v>
      </c>
      <c r="D42" t="inlineStr">
        <is>
          <t>si</t>
        </is>
      </c>
      <c r="E42" t="inlineStr">
        <is>
          <t>si</t>
        </is>
      </c>
    </row>
    <row r="43">
      <c r="A43" t="inlineStr">
        <is>
          <t>mayo 25</t>
        </is>
      </c>
      <c r="B43" t="inlineStr">
        <is>
          <t>bolsas premium compra</t>
        </is>
      </c>
      <c r="C43" t="n">
        <v>250</v>
      </c>
      <c r="D43" t="inlineStr">
        <is>
          <t>si</t>
        </is>
      </c>
      <c r="E43" t="inlineStr">
        <is>
          <t>si</t>
        </is>
      </c>
    </row>
    <row r="44">
      <c r="A44" t="inlineStr">
        <is>
          <t>jun 25</t>
        </is>
      </c>
      <c r="B44" t="inlineStr">
        <is>
          <t>alquiler</t>
        </is>
      </c>
      <c r="C44" t="n">
        <v>700</v>
      </c>
      <c r="D44" t="inlineStr">
        <is>
          <t>si</t>
        </is>
      </c>
      <c r="E44" t="inlineStr">
        <is>
          <t>si</t>
        </is>
      </c>
    </row>
    <row r="45">
      <c r="A45" t="inlineStr">
        <is>
          <t>junio</t>
        </is>
      </c>
      <c r="B45" t="inlineStr">
        <is>
          <t>sueldos</t>
        </is>
      </c>
      <c r="C45" t="n">
        <v>2000</v>
      </c>
      <c r="D45" t="inlineStr">
        <is>
          <t>si</t>
        </is>
      </c>
      <c r="E45" t="inlineStr">
        <is>
          <t>no</t>
        </is>
      </c>
    </row>
    <row r="46">
      <c r="B46" t="inlineStr">
        <is>
          <t>TOTAL GASTOS APROX</t>
        </is>
      </c>
      <c r="C46">
        <f>SUM(C3:C45)</f>
        <v/>
      </c>
      <c r="E46" t="inlineStr">
        <is>
          <t>faltan gastos!!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2026-06-26T21:23:12Z</dcterms:created>
  <dcterms:modified xmlns:dcterms="http://purl.org/dc/terms/" xmlns:xsi="http://www.w3.org/2001/XMLSchema-instance" xsi:type="dcterms:W3CDTF">2026-06-26T21:23:12Z</dcterms:modified>
</cp:coreProperties>
</file>